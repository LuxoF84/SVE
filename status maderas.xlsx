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YM\status\"/>
    </mc:Choice>
  </mc:AlternateContent>
  <xr:revisionPtr revIDLastSave="0" documentId="13_ncr:1_{0384E5D0-BA34-469C-ADC5-7507FA898657}" xr6:coauthVersionLast="47" xr6:coauthVersionMax="47" xr10:uidLastSave="{00000000-0000-0000-0000-000000000000}"/>
  <bookViews>
    <workbookView xWindow="-20520" yWindow="-120" windowWidth="20640" windowHeight="11040" xr2:uid="{401E0A5E-E421-4CA9-A4F2-433498E10714}"/>
  </bookViews>
  <sheets>
    <sheet name="Hoja1" sheetId="1" r:id="rId1"/>
    <sheet name="Hoja2" sheetId="2" r:id="rId2"/>
  </sheets>
  <definedNames>
    <definedName name="_xlnm._FilterDatabase" localSheetId="0" hidden="1">Hoja1!$A$1:$P$25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2" l="1"/>
  <c r="O6" i="2"/>
  <c r="N6" i="2"/>
  <c r="M6" i="2"/>
  <c r="K6" i="2"/>
  <c r="J6" i="2"/>
  <c r="I6" i="2"/>
  <c r="H6" i="2"/>
  <c r="G6" i="2"/>
  <c r="F6" i="2"/>
  <c r="D6" i="2"/>
  <c r="C6" i="2"/>
  <c r="L6" i="2"/>
  <c r="E6" i="2"/>
</calcChain>
</file>

<file path=xl/sharedStrings.xml><?xml version="1.0" encoding="utf-8"?>
<sst xmlns="http://schemas.openxmlformats.org/spreadsheetml/2006/main" count="60" uniqueCount="21">
  <si>
    <t>Fecha</t>
  </si>
  <si>
    <t>Grupo</t>
  </si>
  <si>
    <t>Capacidad m3</t>
  </si>
  <si>
    <t>Vol. Stock</t>
  </si>
  <si>
    <t>% Utilizacion</t>
  </si>
  <si>
    <t>Holgura m3</t>
  </si>
  <si>
    <t>Holgura Camiones</t>
  </si>
  <si>
    <t>Volumen Consolidable Con Programa</t>
  </si>
  <si>
    <t>Volumen Consolidable Sin Programa</t>
  </si>
  <si>
    <t>Volumen E. Incompletas Sin Programa</t>
  </si>
  <si>
    <t>Stock Piedra</t>
  </si>
  <si>
    <t>% Vol. Stock Piedra</t>
  </si>
  <si>
    <t>CT Consolidables</t>
  </si>
  <si>
    <t>CT Consolidables Sin Programa</t>
  </si>
  <si>
    <t>CT sin programa, incompletas</t>
  </si>
  <si>
    <t>Equivalente a CT con stock Piedra</t>
  </si>
  <si>
    <t>MOLDURAS</t>
  </si>
  <si>
    <t>MS</t>
  </si>
  <si>
    <t>MV</t>
  </si>
  <si>
    <t>PANEL</t>
  </si>
  <si>
    <t>% Utilización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</si>
</sst>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Times New Roman"/>
      <family val="1"/>
    </font>
    <font>
      <sz val="10"/>
      <color rgb="FFEE0000"/>
      <name val="Calibri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/>
      <top/>
      <bottom/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/>
      <right style="medium">
        <color rgb="FFD9D9D9"/>
      </right>
      <top/>
      <bottom/>
      <diagonal/>
    </border>
    <border>
      <left style="medium">
        <color rgb="FFD9D9D9"/>
      </left>
      <right/>
      <top/>
      <bottom style="medium">
        <color rgb="FFD9D9D9"/>
      </bottom>
      <diagonal/>
    </border>
    <border>
      <left/>
      <right/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/>
      <right/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9" fontId="2" fillId="0" borderId="7" xfId="0" applyNumberFormat="1" applyFont="1" applyBorder="1" applyAlignment="1">
      <alignment horizontal="center" vertical="center"/>
    </xf>
    <xf numFmtId="0" fontId="3" fillId="0" borderId="0" xfId="0" applyFont="1"/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164" fontId="0" fillId="0" borderId="0" xfId="0" applyNumberFormat="1"/>
    <xf numFmtId="164" fontId="2" fillId="0" borderId="5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53F8-3F92-42D2-BF01-3FF508576164}">
  <dimension ref="A1:P25"/>
  <sheetViews>
    <sheetView showGridLines="0" tabSelected="1" workbookViewId="0">
      <selection activeCell="C15" sqref="C15"/>
    </sheetView>
  </sheetViews>
  <sheetFormatPr baseColWidth="10" defaultRowHeight="14.4" x14ac:dyDescent="0.3"/>
  <cols>
    <col min="3" max="3" width="10.5546875" bestFit="1" customWidth="1"/>
    <col min="4" max="4" width="9" bestFit="1" customWidth="1"/>
    <col min="5" max="5" width="9.88671875" bestFit="1" customWidth="1"/>
    <col min="6" max="6" width="9" bestFit="1" customWidth="1"/>
    <col min="7" max="7" width="7.6640625" bestFit="1" customWidth="1"/>
    <col min="12" max="12" width="9.44140625" bestFit="1" customWidth="1"/>
    <col min="13" max="14" width="10.44140625" bestFit="1" customWidth="1"/>
    <col min="15" max="15" width="9.33203125" bestFit="1" customWidth="1"/>
    <col min="16" max="16" width="10.21875" bestFit="1" customWidth="1"/>
  </cols>
  <sheetData>
    <row r="1" spans="1:16" ht="36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>
        <v>45917</v>
      </c>
      <c r="B2" s="4" t="s">
        <v>16</v>
      </c>
      <c r="C2" s="5">
        <v>1500</v>
      </c>
      <c r="D2" s="4">
        <v>525.86500000000001</v>
      </c>
      <c r="E2" s="13">
        <v>0.35099999999999998</v>
      </c>
      <c r="F2" s="4">
        <v>974.13499999999999</v>
      </c>
      <c r="G2" s="6">
        <v>16</v>
      </c>
      <c r="H2" s="4">
        <v>148.48400000000001</v>
      </c>
      <c r="I2" s="4">
        <v>288.666</v>
      </c>
      <c r="J2" s="4">
        <v>0</v>
      </c>
      <c r="K2" s="7">
        <v>88.715000000000003</v>
      </c>
      <c r="L2" s="13">
        <v>0.16900000000000001</v>
      </c>
      <c r="M2" s="4">
        <v>3</v>
      </c>
      <c r="N2" s="4">
        <v>6</v>
      </c>
      <c r="O2" s="4">
        <v>0</v>
      </c>
      <c r="P2" s="7">
        <v>1</v>
      </c>
    </row>
    <row r="3" spans="1:16" x14ac:dyDescent="0.3">
      <c r="A3" s="3">
        <v>45917</v>
      </c>
      <c r="B3" s="4" t="s">
        <v>17</v>
      </c>
      <c r="C3" s="5">
        <v>7500</v>
      </c>
      <c r="D3" s="4">
        <v>2398.0230000000001</v>
      </c>
      <c r="E3" s="13">
        <v>0.32</v>
      </c>
      <c r="F3" s="4">
        <v>5101.9769999999999</v>
      </c>
      <c r="G3" s="6">
        <v>113</v>
      </c>
      <c r="H3" s="4">
        <v>795.62599999999998</v>
      </c>
      <c r="I3" s="4">
        <v>428.053</v>
      </c>
      <c r="J3" s="4">
        <v>0</v>
      </c>
      <c r="K3" s="7">
        <v>1174.3440000000001</v>
      </c>
      <c r="L3" s="13">
        <v>0.49</v>
      </c>
      <c r="M3" s="4">
        <v>18</v>
      </c>
      <c r="N3" s="4">
        <v>10</v>
      </c>
      <c r="O3" s="4">
        <v>0</v>
      </c>
      <c r="P3" s="7">
        <v>29</v>
      </c>
    </row>
    <row r="4" spans="1:16" x14ac:dyDescent="0.3">
      <c r="A4" s="3">
        <v>45917</v>
      </c>
      <c r="B4" s="4" t="s">
        <v>18</v>
      </c>
      <c r="C4" s="5">
        <v>6000</v>
      </c>
      <c r="D4" s="4">
        <v>1768.88</v>
      </c>
      <c r="E4" s="13">
        <v>0.29499999999999998</v>
      </c>
      <c r="F4" s="4">
        <v>4231.12</v>
      </c>
      <c r="G4" s="6">
        <v>128</v>
      </c>
      <c r="H4" s="4">
        <v>26.963999999999999</v>
      </c>
      <c r="I4" s="4">
        <v>988.59900000000005</v>
      </c>
      <c r="J4" s="4">
        <v>123.712</v>
      </c>
      <c r="K4" s="7">
        <v>629.60500000000002</v>
      </c>
      <c r="L4" s="13">
        <v>0.35599999999999998</v>
      </c>
      <c r="M4" s="4">
        <v>1</v>
      </c>
      <c r="N4" s="4">
        <v>33</v>
      </c>
      <c r="O4" s="4">
        <v>53</v>
      </c>
      <c r="P4" s="7">
        <v>22</v>
      </c>
    </row>
    <row r="5" spans="1:16" ht="15" thickBot="1" x14ac:dyDescent="0.35">
      <c r="A5" s="8">
        <v>45917</v>
      </c>
      <c r="B5" s="9" t="s">
        <v>19</v>
      </c>
      <c r="C5" s="10">
        <v>5000</v>
      </c>
      <c r="D5" s="9">
        <v>3900.0610000000001</v>
      </c>
      <c r="E5" s="14">
        <v>0.78</v>
      </c>
      <c r="F5" s="12">
        <v>1099.9390000000001</v>
      </c>
      <c r="G5" s="11">
        <v>22</v>
      </c>
      <c r="H5" s="9">
        <v>2554.029</v>
      </c>
      <c r="I5" s="9">
        <v>1067.7760000000001</v>
      </c>
      <c r="J5" s="9">
        <v>216.71299999999999</v>
      </c>
      <c r="K5" s="12">
        <v>61.542999999999999</v>
      </c>
      <c r="L5" s="14">
        <v>1.6E-2</v>
      </c>
      <c r="M5" s="9">
        <v>53</v>
      </c>
      <c r="N5" s="9">
        <v>19</v>
      </c>
      <c r="O5" s="9">
        <v>88</v>
      </c>
      <c r="P5" s="12">
        <v>1</v>
      </c>
    </row>
    <row r="6" spans="1:16" x14ac:dyDescent="0.3">
      <c r="A6" s="3">
        <v>45922</v>
      </c>
      <c r="B6" s="4" t="s">
        <v>16</v>
      </c>
      <c r="C6" s="5">
        <v>1500</v>
      </c>
      <c r="D6" s="4">
        <v>377.38099999999997</v>
      </c>
      <c r="E6" s="13">
        <v>0.252</v>
      </c>
      <c r="F6" s="4">
        <v>1122.6189999999999</v>
      </c>
      <c r="G6" s="6">
        <v>19</v>
      </c>
      <c r="H6" s="4">
        <v>0</v>
      </c>
      <c r="I6" s="4">
        <v>288.666</v>
      </c>
      <c r="J6" s="4">
        <v>0</v>
      </c>
      <c r="K6" s="7">
        <v>88.715000000000003</v>
      </c>
      <c r="L6" s="13">
        <v>0.23499999999999999</v>
      </c>
      <c r="M6" s="4">
        <v>0</v>
      </c>
      <c r="N6" s="4">
        <v>6</v>
      </c>
      <c r="O6" s="4">
        <v>0</v>
      </c>
      <c r="P6" s="7">
        <v>1</v>
      </c>
    </row>
    <row r="7" spans="1:16" x14ac:dyDescent="0.3">
      <c r="A7" s="3">
        <v>45922</v>
      </c>
      <c r="B7" s="4" t="s">
        <v>17</v>
      </c>
      <c r="C7" s="5">
        <v>7500</v>
      </c>
      <c r="D7" s="4">
        <v>1697.6410000000001</v>
      </c>
      <c r="E7" s="13">
        <v>0.22600000000000001</v>
      </c>
      <c r="F7" s="4">
        <v>5802.3590000000004</v>
      </c>
      <c r="G7" s="6">
        <v>129</v>
      </c>
      <c r="H7" s="4">
        <v>428.053</v>
      </c>
      <c r="I7" s="4">
        <v>0</v>
      </c>
      <c r="J7" s="4">
        <v>0</v>
      </c>
      <c r="K7" s="7">
        <v>1269.588</v>
      </c>
      <c r="L7" s="13">
        <v>0.748</v>
      </c>
      <c r="M7" s="4">
        <v>10</v>
      </c>
      <c r="N7" s="4">
        <v>0</v>
      </c>
      <c r="O7" s="4">
        <v>0</v>
      </c>
      <c r="P7" s="7">
        <v>32</v>
      </c>
    </row>
    <row r="8" spans="1:16" x14ac:dyDescent="0.3">
      <c r="A8" s="3">
        <v>45922</v>
      </c>
      <c r="B8" s="4" t="s">
        <v>18</v>
      </c>
      <c r="C8" s="5">
        <v>6000</v>
      </c>
      <c r="D8" s="4">
        <v>1795.914</v>
      </c>
      <c r="E8" s="13">
        <v>0.29899999999999999</v>
      </c>
      <c r="F8" s="4">
        <v>4204.0860000000002</v>
      </c>
      <c r="G8" s="6">
        <v>127</v>
      </c>
      <c r="H8" s="4">
        <v>0</v>
      </c>
      <c r="I8" s="4">
        <v>988.59900000000005</v>
      </c>
      <c r="J8" s="4">
        <v>123.712</v>
      </c>
      <c r="K8" s="7">
        <v>683.60299999999995</v>
      </c>
      <c r="L8" s="13">
        <v>0.38100000000000001</v>
      </c>
      <c r="M8" s="4">
        <v>0</v>
      </c>
      <c r="N8" s="4">
        <v>33</v>
      </c>
      <c r="O8" s="4">
        <v>53</v>
      </c>
      <c r="P8" s="7">
        <v>24</v>
      </c>
    </row>
    <row r="9" spans="1:16" ht="15" thickBot="1" x14ac:dyDescent="0.35">
      <c r="A9" s="8">
        <v>45922</v>
      </c>
      <c r="B9" s="9" t="s">
        <v>19</v>
      </c>
      <c r="C9" s="10">
        <v>5000</v>
      </c>
      <c r="D9" s="9">
        <v>4067.6210000000001</v>
      </c>
      <c r="E9" s="14">
        <v>0.81399999999999995</v>
      </c>
      <c r="F9" s="12">
        <v>932.37900000000002</v>
      </c>
      <c r="G9" s="11">
        <v>19</v>
      </c>
      <c r="H9" s="9">
        <v>2276.9580000000001</v>
      </c>
      <c r="I9" s="9">
        <v>1067.7760000000001</v>
      </c>
      <c r="J9" s="9">
        <v>216.71299999999999</v>
      </c>
      <c r="K9" s="12">
        <v>506.17399999999998</v>
      </c>
      <c r="L9" s="14">
        <v>0.124</v>
      </c>
      <c r="M9" s="9">
        <v>47</v>
      </c>
      <c r="N9" s="9">
        <v>19</v>
      </c>
      <c r="O9" s="9">
        <v>88</v>
      </c>
      <c r="P9" s="12">
        <v>11</v>
      </c>
    </row>
    <row r="10" spans="1:16" x14ac:dyDescent="0.3">
      <c r="A10" s="3">
        <v>45923</v>
      </c>
      <c r="B10" s="4" t="s">
        <v>16</v>
      </c>
      <c r="C10" s="5">
        <v>1500</v>
      </c>
      <c r="D10" s="4">
        <v>381.363</v>
      </c>
      <c r="E10" s="13">
        <v>0.254</v>
      </c>
      <c r="F10" s="4">
        <v>1118.6369999999999</v>
      </c>
      <c r="G10" s="6">
        <v>19</v>
      </c>
      <c r="H10" s="4">
        <v>190.57599999999999</v>
      </c>
      <c r="I10" s="4">
        <v>98.09</v>
      </c>
      <c r="J10" s="4">
        <v>0</v>
      </c>
      <c r="K10" s="7">
        <v>92.697000000000003</v>
      </c>
      <c r="L10" s="13">
        <v>0.24299999999999999</v>
      </c>
      <c r="M10" s="4">
        <v>4</v>
      </c>
      <c r="N10" s="4">
        <v>2</v>
      </c>
      <c r="O10" s="4">
        <v>0</v>
      </c>
      <c r="P10" s="7">
        <v>2</v>
      </c>
    </row>
    <row r="11" spans="1:16" x14ac:dyDescent="0.3">
      <c r="A11" s="3">
        <v>45923</v>
      </c>
      <c r="B11" s="4" t="s">
        <v>17</v>
      </c>
      <c r="C11" s="5">
        <v>7500</v>
      </c>
      <c r="D11" s="4">
        <v>1823.8869999999999</v>
      </c>
      <c r="E11" s="13">
        <v>0.24299999999999999</v>
      </c>
      <c r="F11" s="4">
        <v>5676.1130000000003</v>
      </c>
      <c r="G11" s="6">
        <v>126</v>
      </c>
      <c r="H11" s="4">
        <v>435.27699999999999</v>
      </c>
      <c r="I11" s="4">
        <v>354.774</v>
      </c>
      <c r="J11" s="4">
        <v>0</v>
      </c>
      <c r="K11" s="7">
        <v>1033.836</v>
      </c>
      <c r="L11" s="13">
        <v>0.56699999999999995</v>
      </c>
      <c r="M11" s="4">
        <v>10</v>
      </c>
      <c r="N11" s="4">
        <v>6</v>
      </c>
      <c r="O11" s="4">
        <v>0</v>
      </c>
      <c r="P11" s="7">
        <v>26</v>
      </c>
    </row>
    <row r="12" spans="1:16" x14ac:dyDescent="0.3">
      <c r="A12" s="3">
        <v>45923</v>
      </c>
      <c r="B12" s="4" t="s">
        <v>18</v>
      </c>
      <c r="C12" s="5">
        <v>6000</v>
      </c>
      <c r="D12" s="4">
        <v>1917.798</v>
      </c>
      <c r="E12" s="13">
        <v>0.32</v>
      </c>
      <c r="F12" s="4">
        <v>4082.2020000000002</v>
      </c>
      <c r="G12" s="6">
        <v>124</v>
      </c>
      <c r="H12" s="4">
        <v>0</v>
      </c>
      <c r="I12" s="4">
        <v>833.55100000000004</v>
      </c>
      <c r="J12" s="4">
        <v>83.822999999999993</v>
      </c>
      <c r="K12" s="7">
        <v>1000.424</v>
      </c>
      <c r="L12" s="13">
        <v>0.52200000000000002</v>
      </c>
      <c r="M12" s="4">
        <v>0</v>
      </c>
      <c r="N12" s="4">
        <v>28</v>
      </c>
      <c r="O12" s="4">
        <v>45</v>
      </c>
      <c r="P12" s="7">
        <v>36</v>
      </c>
    </row>
    <row r="13" spans="1:16" ht="15" thickBot="1" x14ac:dyDescent="0.35">
      <c r="A13" s="8">
        <v>45923</v>
      </c>
      <c r="B13" s="9" t="s">
        <v>19</v>
      </c>
      <c r="C13" s="10">
        <v>5000</v>
      </c>
      <c r="D13" s="9">
        <v>4403.259</v>
      </c>
      <c r="E13" s="14">
        <v>0.88100000000000001</v>
      </c>
      <c r="F13" s="12">
        <v>596.74099999999999</v>
      </c>
      <c r="G13" s="11">
        <v>12</v>
      </c>
      <c r="H13" s="9">
        <v>2042.578</v>
      </c>
      <c r="I13" s="9">
        <v>1830.7929999999999</v>
      </c>
      <c r="J13" s="9">
        <v>240.03800000000001</v>
      </c>
      <c r="K13" s="12">
        <v>289.85000000000002</v>
      </c>
      <c r="L13" s="14">
        <v>0.66</v>
      </c>
      <c r="M13" s="9">
        <v>41</v>
      </c>
      <c r="N13" s="9">
        <v>28</v>
      </c>
      <c r="O13" s="9">
        <v>68</v>
      </c>
      <c r="P13" s="12">
        <v>6</v>
      </c>
    </row>
    <row r="14" spans="1:16" x14ac:dyDescent="0.3">
      <c r="A14" s="3">
        <v>45924</v>
      </c>
      <c r="B14" s="4" t="s">
        <v>16</v>
      </c>
      <c r="C14" s="5">
        <v>1500</v>
      </c>
      <c r="D14" s="4">
        <v>381.363</v>
      </c>
      <c r="E14" s="13">
        <v>0.254</v>
      </c>
      <c r="F14" s="4">
        <v>1118.6369999999999</v>
      </c>
      <c r="G14" s="6">
        <v>19</v>
      </c>
      <c r="H14" s="4">
        <v>190.57599999999999</v>
      </c>
      <c r="I14" s="4">
        <v>98.09</v>
      </c>
      <c r="J14" s="4">
        <v>0</v>
      </c>
      <c r="K14" s="7">
        <v>92.697000000000003</v>
      </c>
      <c r="L14" s="13">
        <v>0.24299999999999999</v>
      </c>
      <c r="M14" s="4">
        <v>4</v>
      </c>
      <c r="N14" s="4">
        <v>2</v>
      </c>
      <c r="O14" s="4">
        <v>0</v>
      </c>
      <c r="P14" s="7">
        <v>2</v>
      </c>
    </row>
    <row r="15" spans="1:16" x14ac:dyDescent="0.3">
      <c r="A15" s="3">
        <v>45924</v>
      </c>
      <c r="B15" s="4" t="s">
        <v>17</v>
      </c>
      <c r="C15" s="5">
        <v>7500</v>
      </c>
      <c r="D15" s="4">
        <v>1842.962</v>
      </c>
      <c r="E15" s="13">
        <v>0.246</v>
      </c>
      <c r="F15" s="4">
        <v>5657.0379999999996</v>
      </c>
      <c r="G15" s="6">
        <v>126</v>
      </c>
      <c r="H15" s="4">
        <v>435.27699999999999</v>
      </c>
      <c r="I15" s="4">
        <v>354.774</v>
      </c>
      <c r="J15" s="4">
        <v>0</v>
      </c>
      <c r="K15" s="7">
        <v>1052.9110000000001</v>
      </c>
      <c r="L15" s="13">
        <v>0.57099999999999995</v>
      </c>
      <c r="M15" s="4">
        <v>10</v>
      </c>
      <c r="N15" s="4">
        <v>6</v>
      </c>
      <c r="O15" s="4">
        <v>0</v>
      </c>
      <c r="P15" s="7">
        <v>26</v>
      </c>
    </row>
    <row r="16" spans="1:16" x14ac:dyDescent="0.3">
      <c r="A16" s="3">
        <v>45924</v>
      </c>
      <c r="B16" s="4" t="s">
        <v>18</v>
      </c>
      <c r="C16" s="5">
        <v>6000</v>
      </c>
      <c r="D16" s="4">
        <v>2094.6770000000001</v>
      </c>
      <c r="E16" s="13">
        <v>0.34899999999999998</v>
      </c>
      <c r="F16" s="4">
        <v>3905.3229999999999</v>
      </c>
      <c r="G16" s="6">
        <v>118</v>
      </c>
      <c r="H16" s="4">
        <v>0</v>
      </c>
      <c r="I16" s="4">
        <v>833.55100000000004</v>
      </c>
      <c r="J16" s="4">
        <v>83.822999999999993</v>
      </c>
      <c r="K16" s="7">
        <v>1177.3030000000001</v>
      </c>
      <c r="L16" s="13">
        <v>0.56200000000000006</v>
      </c>
      <c r="M16" s="4">
        <v>0</v>
      </c>
      <c r="N16" s="4">
        <v>28</v>
      </c>
      <c r="O16" s="4">
        <v>45</v>
      </c>
      <c r="P16" s="7">
        <v>42</v>
      </c>
    </row>
    <row r="17" spans="1:16" ht="15" thickBot="1" x14ac:dyDescent="0.35">
      <c r="A17" s="8">
        <v>45924</v>
      </c>
      <c r="B17" s="9" t="s">
        <v>19</v>
      </c>
      <c r="C17" s="10">
        <v>5000</v>
      </c>
      <c r="D17" s="9">
        <v>4695.866</v>
      </c>
      <c r="E17" s="14">
        <v>0.93899999999999995</v>
      </c>
      <c r="F17" s="12">
        <v>304.13400000000001</v>
      </c>
      <c r="G17" s="11">
        <v>6</v>
      </c>
      <c r="H17" s="9">
        <v>3210.6860000000001</v>
      </c>
      <c r="I17" s="9">
        <v>570.52499999999998</v>
      </c>
      <c r="J17" s="9">
        <v>125.02200000000001</v>
      </c>
      <c r="K17" s="12">
        <v>789.63300000000004</v>
      </c>
      <c r="L17" s="14">
        <v>0.16800000000000001</v>
      </c>
      <c r="M17" s="9">
        <v>57</v>
      </c>
      <c r="N17" s="9">
        <v>10</v>
      </c>
      <c r="O17" s="9">
        <v>55</v>
      </c>
      <c r="P17" s="12">
        <v>17</v>
      </c>
    </row>
    <row r="18" spans="1:16" x14ac:dyDescent="0.3">
      <c r="A18" s="3">
        <v>45929</v>
      </c>
      <c r="B18" s="4" t="s">
        <v>16</v>
      </c>
      <c r="C18" s="5">
        <v>1500</v>
      </c>
      <c r="D18" s="4">
        <v>248.59200000000001</v>
      </c>
      <c r="E18" s="13">
        <v>0.16600000000000001</v>
      </c>
      <c r="F18" s="4">
        <v>1251.4079999999999</v>
      </c>
      <c r="G18" s="6">
        <v>21</v>
      </c>
      <c r="H18" s="4">
        <v>103.379</v>
      </c>
      <c r="I18" s="4">
        <v>105.30800000000001</v>
      </c>
      <c r="J18" s="4">
        <v>0</v>
      </c>
      <c r="K18" s="7">
        <v>39.905000000000001</v>
      </c>
      <c r="L18" s="13">
        <v>0.161</v>
      </c>
      <c r="M18" s="4">
        <v>2</v>
      </c>
      <c r="N18" s="4">
        <v>2</v>
      </c>
      <c r="O18" s="4">
        <v>0</v>
      </c>
      <c r="P18" s="7">
        <v>1</v>
      </c>
    </row>
    <row r="19" spans="1:16" x14ac:dyDescent="0.3">
      <c r="A19" s="3">
        <v>45929</v>
      </c>
      <c r="B19" s="4" t="s">
        <v>17</v>
      </c>
      <c r="C19" s="5">
        <v>7500</v>
      </c>
      <c r="D19" s="4">
        <v>1607.3040000000001</v>
      </c>
      <c r="E19" s="13">
        <v>0.214</v>
      </c>
      <c r="F19" s="4">
        <v>5892.6959999999999</v>
      </c>
      <c r="G19" s="6">
        <v>131</v>
      </c>
      <c r="H19" s="4">
        <v>0</v>
      </c>
      <c r="I19" s="4">
        <v>357.88200000000001</v>
      </c>
      <c r="J19" s="4">
        <v>409.589</v>
      </c>
      <c r="K19" s="7">
        <v>839.83300000000008</v>
      </c>
      <c r="L19" s="13">
        <v>0.52300000000000002</v>
      </c>
      <c r="M19" s="4">
        <v>0</v>
      </c>
      <c r="N19" s="4">
        <v>6</v>
      </c>
      <c r="O19" s="4">
        <v>33</v>
      </c>
      <c r="P19" s="7">
        <v>21</v>
      </c>
    </row>
    <row r="20" spans="1:16" x14ac:dyDescent="0.3">
      <c r="A20" s="3">
        <v>45929</v>
      </c>
      <c r="B20" s="4" t="s">
        <v>18</v>
      </c>
      <c r="C20" s="5">
        <v>6000</v>
      </c>
      <c r="D20" s="4">
        <v>2679.8020000000001</v>
      </c>
      <c r="E20" s="13">
        <v>0.44700000000000001</v>
      </c>
      <c r="F20" s="4">
        <v>3320.1979999999999</v>
      </c>
      <c r="G20" s="6">
        <v>101</v>
      </c>
      <c r="H20" s="4">
        <v>536.55399999999997</v>
      </c>
      <c r="I20" s="4">
        <v>1493.913</v>
      </c>
      <c r="J20" s="4">
        <v>236.94</v>
      </c>
      <c r="K20" s="7">
        <v>412.39499999999998</v>
      </c>
      <c r="L20" s="13">
        <v>0.154</v>
      </c>
      <c r="M20" s="4">
        <v>18</v>
      </c>
      <c r="N20" s="4">
        <v>50</v>
      </c>
      <c r="O20" s="4">
        <v>133</v>
      </c>
      <c r="P20" s="7">
        <v>15</v>
      </c>
    </row>
    <row r="21" spans="1:16" ht="15" thickBot="1" x14ac:dyDescent="0.35">
      <c r="A21" s="8">
        <v>45929</v>
      </c>
      <c r="B21" s="9" t="s">
        <v>19</v>
      </c>
      <c r="C21" s="10">
        <v>5000</v>
      </c>
      <c r="D21" s="9">
        <v>4696.62</v>
      </c>
      <c r="E21" s="14">
        <v>0.93900000000000006</v>
      </c>
      <c r="F21" s="12">
        <v>303.38000000000011</v>
      </c>
      <c r="G21" s="11">
        <v>6</v>
      </c>
      <c r="H21" s="9">
        <v>2384.54</v>
      </c>
      <c r="I21" s="9">
        <v>2040.33</v>
      </c>
      <c r="J21" s="9">
        <v>203.084</v>
      </c>
      <c r="K21" s="12">
        <v>68.665999999999997</v>
      </c>
      <c r="L21" s="14">
        <v>1.4999999999999999E-2</v>
      </c>
      <c r="M21" s="9">
        <v>43</v>
      </c>
      <c r="N21" s="9">
        <v>43</v>
      </c>
      <c r="O21" s="9">
        <v>170</v>
      </c>
      <c r="P21" s="12">
        <v>1</v>
      </c>
    </row>
    <row r="22" spans="1:16" x14ac:dyDescent="0.3">
      <c r="A22" s="3">
        <v>45930</v>
      </c>
      <c r="B22" s="4" t="s">
        <v>16</v>
      </c>
      <c r="C22" s="5">
        <v>1500</v>
      </c>
      <c r="D22" s="4">
        <v>145.21299999999999</v>
      </c>
      <c r="E22" s="13">
        <v>9.6999999999999989E-2</v>
      </c>
      <c r="F22" s="4">
        <v>1354.787</v>
      </c>
      <c r="G22" s="6">
        <v>23</v>
      </c>
      <c r="H22" s="4">
        <v>156.733</v>
      </c>
      <c r="I22" s="4">
        <v>0</v>
      </c>
      <c r="J22" s="4">
        <v>0</v>
      </c>
      <c r="K22" s="7">
        <v>0</v>
      </c>
      <c r="L22" s="13">
        <v>0</v>
      </c>
      <c r="M22" s="4">
        <v>3</v>
      </c>
      <c r="N22" s="4">
        <v>0</v>
      </c>
      <c r="O22" s="4">
        <v>0</v>
      </c>
      <c r="P22" s="7">
        <v>0</v>
      </c>
    </row>
    <row r="23" spans="1:16" x14ac:dyDescent="0.3">
      <c r="A23" s="3">
        <v>45930</v>
      </c>
      <c r="B23" s="4" t="s">
        <v>17</v>
      </c>
      <c r="C23" s="5">
        <v>7500</v>
      </c>
      <c r="D23" s="4">
        <v>1616.277</v>
      </c>
      <c r="E23" s="13">
        <v>0.21600000000000003</v>
      </c>
      <c r="F23" s="4">
        <v>5883.723</v>
      </c>
      <c r="G23" s="6">
        <v>131</v>
      </c>
      <c r="H23" s="4">
        <v>0</v>
      </c>
      <c r="I23" s="4">
        <v>357.88200000000001</v>
      </c>
      <c r="J23" s="4">
        <v>491.24599999999998</v>
      </c>
      <c r="K23" s="7">
        <v>767.149</v>
      </c>
      <c r="L23" s="13">
        <v>0.47499999999999998</v>
      </c>
      <c r="M23" s="4">
        <v>0</v>
      </c>
      <c r="N23" s="4">
        <v>6</v>
      </c>
      <c r="O23" s="4">
        <v>35</v>
      </c>
      <c r="P23" s="7">
        <v>19</v>
      </c>
    </row>
    <row r="24" spans="1:16" x14ac:dyDescent="0.3">
      <c r="A24" s="3">
        <v>45930</v>
      </c>
      <c r="B24" s="4" t="s">
        <v>18</v>
      </c>
      <c r="C24" s="5">
        <v>6000</v>
      </c>
      <c r="D24" s="4">
        <v>3083.4459999999999</v>
      </c>
      <c r="E24" s="13">
        <v>0.51400000000000001</v>
      </c>
      <c r="F24" s="4">
        <v>2916.5540000000001</v>
      </c>
      <c r="G24" s="6">
        <v>88</v>
      </c>
      <c r="H24" s="4">
        <v>536.55399999999997</v>
      </c>
      <c r="I24" s="4">
        <v>1667.0309999999999</v>
      </c>
      <c r="J24" s="4">
        <v>449.61799999999999</v>
      </c>
      <c r="K24" s="7">
        <v>430.24299999999988</v>
      </c>
      <c r="L24" s="13">
        <v>0.14000000000000001</v>
      </c>
      <c r="M24" s="4">
        <v>18</v>
      </c>
      <c r="N24" s="4">
        <v>56</v>
      </c>
      <c r="O24" s="4">
        <v>148</v>
      </c>
      <c r="P24" s="7">
        <v>15</v>
      </c>
    </row>
    <row r="25" spans="1:16" ht="15" thickBot="1" x14ac:dyDescent="0.35">
      <c r="A25" s="8">
        <v>45930</v>
      </c>
      <c r="B25" s="9" t="s">
        <v>19</v>
      </c>
      <c r="C25" s="10">
        <v>5000</v>
      </c>
      <c r="D25" s="9">
        <v>4355.0919999999996</v>
      </c>
      <c r="E25" s="14">
        <v>0.871</v>
      </c>
      <c r="F25" s="12">
        <v>644.90800000000036</v>
      </c>
      <c r="G25" s="11">
        <v>13</v>
      </c>
      <c r="H25" s="9">
        <v>3655.7719999999999</v>
      </c>
      <c r="I25" s="9">
        <v>505.14600000000002</v>
      </c>
      <c r="J25" s="9">
        <v>50.01</v>
      </c>
      <c r="K25" s="12">
        <v>144.1639999999997</v>
      </c>
      <c r="L25" s="14">
        <v>3.3000000000000002E-2</v>
      </c>
      <c r="M25" s="9">
        <v>73</v>
      </c>
      <c r="N25" s="9">
        <v>11</v>
      </c>
      <c r="O25" s="9">
        <v>159</v>
      </c>
      <c r="P25" s="12">
        <v>3</v>
      </c>
    </row>
  </sheetData>
  <autoFilter ref="A1:P25" xr:uid="{D4D253F8-3F92-42D2-BF01-3FF508576164}">
    <sortState xmlns:xlrd2="http://schemas.microsoft.com/office/spreadsheetml/2017/richdata2" ref="A2:P25">
      <sortCondition ref="A1:A2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4477-68B9-42A8-AC22-63EE0EA20A96}">
  <dimension ref="A1:P15"/>
  <sheetViews>
    <sheetView workbookViewId="0">
      <selection activeCell="J1" sqref="J1"/>
    </sheetView>
  </sheetViews>
  <sheetFormatPr baseColWidth="10" defaultRowHeight="14.4" x14ac:dyDescent="0.3"/>
  <sheetData>
    <row r="1" spans="1:16" ht="36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20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>
        <v>45930</v>
      </c>
      <c r="B2" s="4" t="s">
        <v>16</v>
      </c>
      <c r="C2" s="30">
        <v>1500</v>
      </c>
      <c r="D2" s="19">
        <v>145.21299999999999</v>
      </c>
      <c r="E2" s="13">
        <v>9.6999999999999989E-2</v>
      </c>
      <c r="F2" s="19">
        <v>1354.787</v>
      </c>
      <c r="G2" s="6">
        <v>23</v>
      </c>
      <c r="H2" s="19">
        <v>156.733</v>
      </c>
      <c r="I2" s="19">
        <v>0</v>
      </c>
      <c r="J2" s="19">
        <v>0</v>
      </c>
      <c r="K2" s="24">
        <v>0</v>
      </c>
      <c r="L2" s="13">
        <v>0</v>
      </c>
      <c r="M2" s="4">
        <v>3</v>
      </c>
      <c r="N2" s="4">
        <v>0</v>
      </c>
      <c r="O2" s="4">
        <v>0</v>
      </c>
      <c r="P2" s="7">
        <v>0</v>
      </c>
    </row>
    <row r="3" spans="1:16" x14ac:dyDescent="0.3">
      <c r="A3" s="3">
        <v>45930</v>
      </c>
      <c r="B3" s="4" t="s">
        <v>17</v>
      </c>
      <c r="C3" s="30">
        <v>7500</v>
      </c>
      <c r="D3" s="19">
        <v>1616.277</v>
      </c>
      <c r="E3" s="13">
        <v>0.21600000000000003</v>
      </c>
      <c r="F3" s="19">
        <v>5883.723</v>
      </c>
      <c r="G3" s="6">
        <v>131</v>
      </c>
      <c r="H3" s="19">
        <v>0</v>
      </c>
      <c r="I3" s="19">
        <v>357.88200000000001</v>
      </c>
      <c r="J3" s="19">
        <v>491.24599999999998</v>
      </c>
      <c r="K3" s="24">
        <v>767.149</v>
      </c>
      <c r="L3" s="13">
        <v>0.47499999999999998</v>
      </c>
      <c r="M3" s="4">
        <v>0</v>
      </c>
      <c r="N3" s="4">
        <v>6</v>
      </c>
      <c r="O3" s="4">
        <v>35</v>
      </c>
      <c r="P3" s="7">
        <v>19</v>
      </c>
    </row>
    <row r="4" spans="1:16" x14ac:dyDescent="0.3">
      <c r="A4" s="3">
        <v>45930</v>
      </c>
      <c r="B4" s="4" t="s">
        <v>18</v>
      </c>
      <c r="C4" s="30">
        <v>6000</v>
      </c>
      <c r="D4" s="19">
        <v>3083.4459999999999</v>
      </c>
      <c r="E4" s="13">
        <v>0.51400000000000001</v>
      </c>
      <c r="F4" s="19">
        <v>2916.5540000000001</v>
      </c>
      <c r="G4" s="6">
        <v>88</v>
      </c>
      <c r="H4" s="19">
        <v>536.55399999999997</v>
      </c>
      <c r="I4" s="19">
        <v>1667.0309999999999</v>
      </c>
      <c r="J4" s="19">
        <v>449.61799999999999</v>
      </c>
      <c r="K4" s="24">
        <v>430.24299999999988</v>
      </c>
      <c r="L4" s="13">
        <v>0.14000000000000001</v>
      </c>
      <c r="M4" s="4">
        <v>18</v>
      </c>
      <c r="N4" s="4">
        <v>56</v>
      </c>
      <c r="O4" s="4">
        <v>148</v>
      </c>
      <c r="P4" s="7">
        <v>15</v>
      </c>
    </row>
    <row r="5" spans="1:16" ht="15" thickBot="1" x14ac:dyDescent="0.35">
      <c r="A5" s="8">
        <v>45930</v>
      </c>
      <c r="B5" s="9" t="s">
        <v>19</v>
      </c>
      <c r="C5" s="31">
        <v>5000</v>
      </c>
      <c r="D5" s="20">
        <v>4355.0919999999996</v>
      </c>
      <c r="E5" s="21">
        <v>0.871</v>
      </c>
      <c r="F5" s="19">
        <v>644.90800000000036</v>
      </c>
      <c r="G5" s="11">
        <v>13</v>
      </c>
      <c r="H5" s="20">
        <v>3655.7719999999999</v>
      </c>
      <c r="I5" s="20">
        <v>505.14600000000002</v>
      </c>
      <c r="J5" s="20">
        <v>50.01</v>
      </c>
      <c r="K5" s="25">
        <v>144.1639999999997</v>
      </c>
      <c r="L5" s="21">
        <v>3.3000000000000002E-2</v>
      </c>
      <c r="M5" s="9">
        <v>73</v>
      </c>
      <c r="N5" s="9">
        <v>11</v>
      </c>
      <c r="O5" s="9">
        <v>159</v>
      </c>
      <c r="P5" s="12">
        <v>3</v>
      </c>
    </row>
    <row r="6" spans="1:16" ht="15" thickBot="1" x14ac:dyDescent="0.35">
      <c r="A6" s="15"/>
      <c r="B6" s="15"/>
      <c r="C6" s="32">
        <f>SUM(C2:C5)</f>
        <v>20000</v>
      </c>
      <c r="D6" s="29">
        <f>SUM(D2:D5)</f>
        <v>9200.0279999999984</v>
      </c>
      <c r="E6" s="22">
        <f>AVERAGE(E2:E5)</f>
        <v>0.42449999999999999</v>
      </c>
      <c r="F6" s="28">
        <f t="shared" ref="F6:K6" si="0">SUM(F2:F5)</f>
        <v>10799.972000000002</v>
      </c>
      <c r="G6" s="16">
        <f t="shared" si="0"/>
        <v>255</v>
      </c>
      <c r="H6" s="29">
        <f t="shared" si="0"/>
        <v>4349.0590000000002</v>
      </c>
      <c r="I6" s="26">
        <f t="shared" si="0"/>
        <v>2530.0590000000002</v>
      </c>
      <c r="J6" s="29">
        <f t="shared" si="0"/>
        <v>990.87400000000002</v>
      </c>
      <c r="K6" s="27">
        <f t="shared" si="0"/>
        <v>1341.5559999999996</v>
      </c>
      <c r="L6" s="22">
        <f>AVERAGE(L2:L5)</f>
        <v>0.16200000000000001</v>
      </c>
      <c r="M6" s="17">
        <f>SUM(M2:M5)</f>
        <v>94</v>
      </c>
      <c r="N6" s="17">
        <f>SUM(N2:N5)</f>
        <v>73</v>
      </c>
      <c r="O6" s="17">
        <f>SUM(O2:O5)</f>
        <v>342</v>
      </c>
      <c r="P6" s="18">
        <f>SUM(P2:P5)</f>
        <v>37</v>
      </c>
    </row>
    <row r="15" spans="1:16" x14ac:dyDescent="0.3">
      <c r="F15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Fuentes Retamal</dc:creator>
  <cp:lastModifiedBy>Luis Fuentes Retamal</cp:lastModifiedBy>
  <dcterms:created xsi:type="dcterms:W3CDTF">2025-09-24T12:24:01Z</dcterms:created>
  <dcterms:modified xsi:type="dcterms:W3CDTF">2025-09-30T20:13:42Z</dcterms:modified>
</cp:coreProperties>
</file>