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YM\status\"/>
    </mc:Choice>
  </mc:AlternateContent>
  <xr:revisionPtr revIDLastSave="0" documentId="13_ncr:1_{7A6BBD7D-4209-45A5-A563-3AD0A322CAE7}" xr6:coauthVersionLast="47" xr6:coauthVersionMax="47" xr10:uidLastSave="{00000000-0000-0000-0000-000000000000}"/>
  <bookViews>
    <workbookView xWindow="-20520" yWindow="-120" windowWidth="20640" windowHeight="11040" xr2:uid="{401E0A5E-E421-4CA9-A4F2-433498E10714}"/>
  </bookViews>
  <sheets>
    <sheet name="Hoja1" sheetId="1" r:id="rId1"/>
    <sheet name="Hoja2" sheetId="2" r:id="rId2"/>
    <sheet name="Hoja2 (2)" sheetId="3" r:id="rId3"/>
  </sheets>
  <definedNames>
    <definedName name="_xlnm._FilterDatabase" localSheetId="0" hidden="1">Hoja1!$A$1:$P$53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7" i="1" l="1"/>
  <c r="I107" i="1"/>
  <c r="I81" i="1"/>
  <c r="I109" i="1"/>
  <c r="I41" i="1"/>
  <c r="L11" i="2"/>
  <c r="L10" i="2"/>
  <c r="L9" i="2"/>
  <c r="L8" i="2"/>
  <c r="E11" i="2"/>
  <c r="E10" i="2"/>
  <c r="E9" i="2"/>
  <c r="E8" i="2"/>
  <c r="I2" i="3"/>
  <c r="I3" i="3"/>
  <c r="I4" i="3"/>
  <c r="I5" i="3"/>
  <c r="O6" i="3"/>
  <c r="I6" i="3" l="1"/>
  <c r="R6" i="3"/>
  <c r="Q6" i="3"/>
  <c r="P6" i="3"/>
  <c r="N6" i="3"/>
  <c r="M6" i="3"/>
  <c r="L6" i="3"/>
  <c r="K6" i="3"/>
  <c r="J6" i="3"/>
  <c r="H6" i="3"/>
  <c r="G6" i="3"/>
  <c r="F6" i="3"/>
  <c r="E6" i="3"/>
  <c r="D6" i="3"/>
  <c r="C6" i="3"/>
  <c r="P6" i="2"/>
  <c r="O6" i="2"/>
  <c r="N6" i="2"/>
  <c r="M6" i="2"/>
  <c r="K6" i="2"/>
  <c r="J6" i="2"/>
  <c r="I6" i="2"/>
  <c r="H6" i="2"/>
  <c r="G6" i="2"/>
  <c r="F6" i="2"/>
  <c r="D6" i="2"/>
  <c r="C6" i="2"/>
  <c r="L6" i="2" l="1"/>
  <c r="E6" i="2"/>
</calcChain>
</file>

<file path=xl/sharedStrings.xml><?xml version="1.0" encoding="utf-8"?>
<sst xmlns="http://schemas.openxmlformats.org/spreadsheetml/2006/main" count="202" uniqueCount="30">
  <si>
    <t>Fecha</t>
  </si>
  <si>
    <t>Grupo</t>
  </si>
  <si>
    <t>Capacidad m3</t>
  </si>
  <si>
    <t>Vol. Stock</t>
  </si>
  <si>
    <t>% Utilizacion</t>
  </si>
  <si>
    <t>Holgura m3</t>
  </si>
  <si>
    <t>Holgura Camiones</t>
  </si>
  <si>
    <t>Volumen Consolidable Con Programa</t>
  </si>
  <si>
    <t>Volumen Consolidable Sin Programa</t>
  </si>
  <si>
    <t>Volumen E. Incompletas Sin Programa</t>
  </si>
  <si>
    <t>Stock Piedra</t>
  </si>
  <si>
    <t>% Vol. Stock Piedra</t>
  </si>
  <si>
    <t>CT Consolidables</t>
  </si>
  <si>
    <t>CT Consolidables Sin Programa</t>
  </si>
  <si>
    <t>CT sin programa, incompletas</t>
  </si>
  <si>
    <t>Equivalente a CT con stock Piedra</t>
  </si>
  <si>
    <t>MOLDURAS</t>
  </si>
  <si>
    <t>MS</t>
  </si>
  <si>
    <t>MV</t>
  </si>
  <si>
    <t>PANEL</t>
  </si>
  <si>
    <t>% Utilización</t>
  </si>
  <si>
    <t>Stock Piedra (m³)</t>
  </si>
  <si>
    <t>Volumen E. Incompletas Sin Programa (m³)</t>
  </si>
  <si>
    <t>Volumen Consolidable Sin Programa (m³)</t>
  </si>
  <si>
    <t>Volumen Consolidable Con Programa (m³)</t>
  </si>
  <si>
    <t>Holgura (m³)</t>
  </si>
  <si>
    <t>Capacidad (m³)</t>
  </si>
  <si>
    <t>Vol. Stock
(m³)</t>
  </si>
  <si>
    <t>Volumen a 
consolidar hoy
(m³)</t>
  </si>
  <si>
    <t>Proyeccion
Consolidado Hoy (CT)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</si>
</sst>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0\ %"/>
    <numFmt numFmtId="166" formatCode="General\ \%"/>
    <numFmt numFmtId="167" formatCode="0.0%"/>
    <numFmt numFmtId="168" formatCode="0.000"/>
  </numFmts>
  <fonts count="8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EE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10"/>
      <name val="Calibr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 style="medium">
        <color rgb="FFD9D9D9"/>
      </right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/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4" fontId="0" fillId="0" borderId="0" xfId="0" applyNumberFormat="1"/>
    <xf numFmtId="164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5" fillId="0" borderId="10" xfId="0" applyNumberFormat="1" applyFont="1" applyBorder="1" applyAlignment="1">
      <alignment horizontal="center" vertical="center"/>
    </xf>
    <xf numFmtId="166" fontId="2" fillId="0" borderId="4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6" fontId="7" fillId="0" borderId="4" xfId="0" applyNumberFormat="1" applyFont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/>
    </xf>
    <xf numFmtId="167" fontId="2" fillId="0" borderId="7" xfId="0" applyNumberFormat="1" applyFont="1" applyBorder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2" fillId="0" borderId="7" xfId="0" applyNumberFormat="1" applyFont="1" applyBorder="1" applyAlignment="1">
      <alignment horizontal="center" vertical="center"/>
    </xf>
    <xf numFmtId="4" fontId="2" fillId="0" borderId="9" xfId="0" applyNumberFormat="1" applyFont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2" fillId="0" borderId="5" xfId="0" applyNumberFormat="1" applyFont="1" applyBorder="1" applyAlignment="1">
      <alignment horizontal="center" vertical="center"/>
    </xf>
    <xf numFmtId="168" fontId="2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53F8-3F92-42D2-BF01-3FF508576164}">
  <dimension ref="A1:P145"/>
  <sheetViews>
    <sheetView showGridLines="0" tabSelected="1" workbookViewId="0">
      <pane ySplit="1" topLeftCell="A134" activePane="bottomLeft" state="frozen"/>
      <selection pane="bottomLeft" activeCell="G147" sqref="G147"/>
    </sheetView>
  </sheetViews>
  <sheetFormatPr baseColWidth="10" defaultRowHeight="14.4" x14ac:dyDescent="0.3"/>
  <cols>
    <col min="3" max="3" width="10.5546875" bestFit="1" customWidth="1"/>
    <col min="4" max="4" width="9" bestFit="1" customWidth="1"/>
    <col min="5" max="5" width="9.88671875" bestFit="1" customWidth="1"/>
    <col min="6" max="6" width="9" bestFit="1" customWidth="1"/>
    <col min="7" max="7" width="7.6640625" bestFit="1" customWidth="1"/>
    <col min="12" max="12" width="9.44140625" bestFit="1" customWidth="1"/>
    <col min="13" max="14" width="10.44140625" bestFit="1" customWidth="1"/>
    <col min="15" max="15" width="9.33203125" bestFit="1" customWidth="1"/>
    <col min="16" max="16" width="10.21875" bestFit="1" customWidth="1"/>
  </cols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45917</v>
      </c>
      <c r="B2" s="4" t="s">
        <v>16</v>
      </c>
      <c r="C2" s="5">
        <v>1500</v>
      </c>
      <c r="D2" s="4">
        <v>525.86500000000001</v>
      </c>
      <c r="E2" s="13">
        <v>0.35099999999999998</v>
      </c>
      <c r="F2" s="4">
        <v>974.13499999999999</v>
      </c>
      <c r="G2" s="6">
        <v>16</v>
      </c>
      <c r="H2" s="4">
        <v>148.48400000000001</v>
      </c>
      <c r="I2" s="4">
        <v>288.666</v>
      </c>
      <c r="J2" s="4">
        <v>0</v>
      </c>
      <c r="K2" s="7">
        <v>88.715000000000003</v>
      </c>
      <c r="L2" s="13">
        <v>0.16900000000000001</v>
      </c>
      <c r="M2" s="4">
        <v>3</v>
      </c>
      <c r="N2" s="4">
        <v>6</v>
      </c>
      <c r="O2" s="4">
        <v>0</v>
      </c>
      <c r="P2" s="7">
        <v>1</v>
      </c>
    </row>
    <row r="3" spans="1:16" x14ac:dyDescent="0.3">
      <c r="A3" s="3">
        <v>45917</v>
      </c>
      <c r="B3" s="4" t="s">
        <v>17</v>
      </c>
      <c r="C3" s="5">
        <v>7500</v>
      </c>
      <c r="D3" s="4">
        <v>2398.0230000000001</v>
      </c>
      <c r="E3" s="13">
        <v>0.32</v>
      </c>
      <c r="F3" s="4">
        <v>5101.9769999999999</v>
      </c>
      <c r="G3" s="6">
        <v>113</v>
      </c>
      <c r="H3" s="4">
        <v>795.62599999999998</v>
      </c>
      <c r="I3" s="4">
        <v>428.053</v>
      </c>
      <c r="J3" s="4">
        <v>0</v>
      </c>
      <c r="K3" s="7">
        <v>1174.3440000000001</v>
      </c>
      <c r="L3" s="13">
        <v>0.49</v>
      </c>
      <c r="M3" s="4">
        <v>18</v>
      </c>
      <c r="N3" s="4">
        <v>10</v>
      </c>
      <c r="O3" s="4">
        <v>0</v>
      </c>
      <c r="P3" s="7">
        <v>29</v>
      </c>
    </row>
    <row r="4" spans="1:16" x14ac:dyDescent="0.3">
      <c r="A4" s="3">
        <v>45917</v>
      </c>
      <c r="B4" s="4" t="s">
        <v>18</v>
      </c>
      <c r="C4" s="5">
        <v>6000</v>
      </c>
      <c r="D4" s="4">
        <v>1768.88</v>
      </c>
      <c r="E4" s="13">
        <v>0.29499999999999998</v>
      </c>
      <c r="F4" s="4">
        <v>4231.12</v>
      </c>
      <c r="G4" s="6">
        <v>128</v>
      </c>
      <c r="H4" s="4">
        <v>26.963999999999999</v>
      </c>
      <c r="I4" s="4">
        <v>988.59900000000005</v>
      </c>
      <c r="J4" s="4">
        <v>123.712</v>
      </c>
      <c r="K4" s="7">
        <v>629.60500000000002</v>
      </c>
      <c r="L4" s="13">
        <v>0.35599999999999998</v>
      </c>
      <c r="M4" s="4">
        <v>1</v>
      </c>
      <c r="N4" s="4">
        <v>33</v>
      </c>
      <c r="O4" s="4">
        <v>53</v>
      </c>
      <c r="P4" s="7">
        <v>22</v>
      </c>
    </row>
    <row r="5" spans="1:16" ht="15" thickBot="1" x14ac:dyDescent="0.35">
      <c r="A5" s="8">
        <v>45917</v>
      </c>
      <c r="B5" s="9" t="s">
        <v>19</v>
      </c>
      <c r="C5" s="10">
        <v>5000</v>
      </c>
      <c r="D5" s="9">
        <v>3900.0610000000001</v>
      </c>
      <c r="E5" s="14">
        <v>0.78</v>
      </c>
      <c r="F5" s="12">
        <v>1099.9390000000001</v>
      </c>
      <c r="G5" s="11">
        <v>22</v>
      </c>
      <c r="H5" s="9">
        <v>2554.029</v>
      </c>
      <c r="I5" s="9">
        <v>1067.7760000000001</v>
      </c>
      <c r="J5" s="9">
        <v>216.71299999999999</v>
      </c>
      <c r="K5" s="12">
        <v>61.542999999999999</v>
      </c>
      <c r="L5" s="14">
        <v>1.6E-2</v>
      </c>
      <c r="M5" s="9">
        <v>53</v>
      </c>
      <c r="N5" s="9">
        <v>19</v>
      </c>
      <c r="O5" s="9">
        <v>88</v>
      </c>
      <c r="P5" s="12">
        <v>1</v>
      </c>
    </row>
    <row r="6" spans="1:16" x14ac:dyDescent="0.3">
      <c r="A6" s="3">
        <v>45922</v>
      </c>
      <c r="B6" s="4" t="s">
        <v>16</v>
      </c>
      <c r="C6" s="5">
        <v>1500</v>
      </c>
      <c r="D6" s="4">
        <v>377.38099999999997</v>
      </c>
      <c r="E6" s="13">
        <v>0.252</v>
      </c>
      <c r="F6" s="4">
        <v>1122.6189999999999</v>
      </c>
      <c r="G6" s="6">
        <v>19</v>
      </c>
      <c r="H6" s="4">
        <v>0</v>
      </c>
      <c r="I6" s="4">
        <v>288.666</v>
      </c>
      <c r="J6" s="4">
        <v>0</v>
      </c>
      <c r="K6" s="7">
        <v>88.715000000000003</v>
      </c>
      <c r="L6" s="13">
        <v>0.23499999999999999</v>
      </c>
      <c r="M6" s="4">
        <v>0</v>
      </c>
      <c r="N6" s="4">
        <v>6</v>
      </c>
      <c r="O6" s="4">
        <v>0</v>
      </c>
      <c r="P6" s="7">
        <v>1</v>
      </c>
    </row>
    <row r="7" spans="1:16" x14ac:dyDescent="0.3">
      <c r="A7" s="3">
        <v>45922</v>
      </c>
      <c r="B7" s="4" t="s">
        <v>17</v>
      </c>
      <c r="C7" s="5">
        <v>7500</v>
      </c>
      <c r="D7" s="4">
        <v>1697.6410000000001</v>
      </c>
      <c r="E7" s="13">
        <v>0.22600000000000001</v>
      </c>
      <c r="F7" s="4">
        <v>5802.3590000000004</v>
      </c>
      <c r="G7" s="6">
        <v>129</v>
      </c>
      <c r="H7" s="4">
        <v>428.053</v>
      </c>
      <c r="I7" s="4">
        <v>0</v>
      </c>
      <c r="J7" s="4">
        <v>0</v>
      </c>
      <c r="K7" s="7">
        <v>1269.588</v>
      </c>
      <c r="L7" s="13">
        <v>0.748</v>
      </c>
      <c r="M7" s="4">
        <v>10</v>
      </c>
      <c r="N7" s="4">
        <v>0</v>
      </c>
      <c r="O7" s="4">
        <v>0</v>
      </c>
      <c r="P7" s="7">
        <v>32</v>
      </c>
    </row>
    <row r="8" spans="1:16" x14ac:dyDescent="0.3">
      <c r="A8" s="3">
        <v>45922</v>
      </c>
      <c r="B8" s="4" t="s">
        <v>18</v>
      </c>
      <c r="C8" s="5">
        <v>6000</v>
      </c>
      <c r="D8" s="4">
        <v>1795.914</v>
      </c>
      <c r="E8" s="13">
        <v>0.29899999999999999</v>
      </c>
      <c r="F8" s="4">
        <v>4204.0860000000002</v>
      </c>
      <c r="G8" s="6">
        <v>127</v>
      </c>
      <c r="H8" s="4">
        <v>0</v>
      </c>
      <c r="I8" s="4">
        <v>988.59900000000005</v>
      </c>
      <c r="J8" s="4">
        <v>123.712</v>
      </c>
      <c r="K8" s="7">
        <v>683.60299999999995</v>
      </c>
      <c r="L8" s="13">
        <v>0.38100000000000001</v>
      </c>
      <c r="M8" s="4">
        <v>0</v>
      </c>
      <c r="N8" s="4">
        <v>33</v>
      </c>
      <c r="O8" s="4">
        <v>53</v>
      </c>
      <c r="P8" s="7">
        <v>24</v>
      </c>
    </row>
    <row r="9" spans="1:16" ht="15" thickBot="1" x14ac:dyDescent="0.35">
      <c r="A9" s="8">
        <v>45922</v>
      </c>
      <c r="B9" s="9" t="s">
        <v>19</v>
      </c>
      <c r="C9" s="10">
        <v>5000</v>
      </c>
      <c r="D9" s="9">
        <v>4067.6210000000001</v>
      </c>
      <c r="E9" s="14">
        <v>0.81399999999999995</v>
      </c>
      <c r="F9" s="12">
        <v>932.37900000000002</v>
      </c>
      <c r="G9" s="11">
        <v>19</v>
      </c>
      <c r="H9" s="9">
        <v>2276.9580000000001</v>
      </c>
      <c r="I9" s="9">
        <v>1067.7760000000001</v>
      </c>
      <c r="J9" s="9">
        <v>216.71299999999999</v>
      </c>
      <c r="K9" s="12">
        <v>506.17399999999998</v>
      </c>
      <c r="L9" s="14">
        <v>0.124</v>
      </c>
      <c r="M9" s="9">
        <v>47</v>
      </c>
      <c r="N9" s="9">
        <v>19</v>
      </c>
      <c r="O9" s="9">
        <v>88</v>
      </c>
      <c r="P9" s="12">
        <v>11</v>
      </c>
    </row>
    <row r="10" spans="1:16" x14ac:dyDescent="0.3">
      <c r="A10" s="3">
        <v>45923</v>
      </c>
      <c r="B10" s="4" t="s">
        <v>16</v>
      </c>
      <c r="C10" s="5">
        <v>1500</v>
      </c>
      <c r="D10" s="4">
        <v>381.363</v>
      </c>
      <c r="E10" s="13">
        <v>0.254</v>
      </c>
      <c r="F10" s="4">
        <v>1118.6369999999999</v>
      </c>
      <c r="G10" s="6">
        <v>19</v>
      </c>
      <c r="H10" s="4">
        <v>190.57599999999999</v>
      </c>
      <c r="I10" s="4">
        <v>98.09</v>
      </c>
      <c r="J10" s="4">
        <v>0</v>
      </c>
      <c r="K10" s="7">
        <v>92.697000000000003</v>
      </c>
      <c r="L10" s="13">
        <v>0.24299999999999999</v>
      </c>
      <c r="M10" s="4">
        <v>4</v>
      </c>
      <c r="N10" s="4">
        <v>2</v>
      </c>
      <c r="O10" s="4">
        <v>0</v>
      </c>
      <c r="P10" s="7">
        <v>2</v>
      </c>
    </row>
    <row r="11" spans="1:16" x14ac:dyDescent="0.3">
      <c r="A11" s="3">
        <v>45923</v>
      </c>
      <c r="B11" s="4" t="s">
        <v>17</v>
      </c>
      <c r="C11" s="5">
        <v>7500</v>
      </c>
      <c r="D11" s="4">
        <v>1823.8869999999999</v>
      </c>
      <c r="E11" s="13">
        <v>0.24299999999999999</v>
      </c>
      <c r="F11" s="4">
        <v>5676.1130000000003</v>
      </c>
      <c r="G11" s="6">
        <v>126</v>
      </c>
      <c r="H11" s="4">
        <v>435.27699999999999</v>
      </c>
      <c r="I11" s="4">
        <v>354.774</v>
      </c>
      <c r="J11" s="4">
        <v>0</v>
      </c>
      <c r="K11" s="7">
        <v>1033.836</v>
      </c>
      <c r="L11" s="13">
        <v>0.56699999999999995</v>
      </c>
      <c r="M11" s="4">
        <v>10</v>
      </c>
      <c r="N11" s="4">
        <v>6</v>
      </c>
      <c r="O11" s="4">
        <v>0</v>
      </c>
      <c r="P11" s="7">
        <v>26</v>
      </c>
    </row>
    <row r="12" spans="1:16" x14ac:dyDescent="0.3">
      <c r="A12" s="3">
        <v>45923</v>
      </c>
      <c r="B12" s="4" t="s">
        <v>18</v>
      </c>
      <c r="C12" s="5">
        <v>6000</v>
      </c>
      <c r="D12" s="4">
        <v>1917.798</v>
      </c>
      <c r="E12" s="13">
        <v>0.32</v>
      </c>
      <c r="F12" s="4">
        <v>4082.2020000000002</v>
      </c>
      <c r="G12" s="6">
        <v>124</v>
      </c>
      <c r="H12" s="4">
        <v>0</v>
      </c>
      <c r="I12" s="4">
        <v>833.55100000000004</v>
      </c>
      <c r="J12" s="4">
        <v>83.822999999999993</v>
      </c>
      <c r="K12" s="7">
        <v>1000.424</v>
      </c>
      <c r="L12" s="13">
        <v>0.52200000000000002</v>
      </c>
      <c r="M12" s="4">
        <v>0</v>
      </c>
      <c r="N12" s="4">
        <v>28</v>
      </c>
      <c r="O12" s="4">
        <v>45</v>
      </c>
      <c r="P12" s="7">
        <v>36</v>
      </c>
    </row>
    <row r="13" spans="1:16" ht="15" thickBot="1" x14ac:dyDescent="0.35">
      <c r="A13" s="8">
        <v>45923</v>
      </c>
      <c r="B13" s="9" t="s">
        <v>19</v>
      </c>
      <c r="C13" s="10">
        <v>5000</v>
      </c>
      <c r="D13" s="9">
        <v>4403.259</v>
      </c>
      <c r="E13" s="14">
        <v>0.88100000000000001</v>
      </c>
      <c r="F13" s="12">
        <v>596.74099999999999</v>
      </c>
      <c r="G13" s="11">
        <v>12</v>
      </c>
      <c r="H13" s="9">
        <v>2042.578</v>
      </c>
      <c r="I13" s="9">
        <v>1830.7929999999999</v>
      </c>
      <c r="J13" s="9">
        <v>240.03800000000001</v>
      </c>
      <c r="K13" s="12">
        <v>289.85000000000002</v>
      </c>
      <c r="L13" s="14">
        <v>0.66</v>
      </c>
      <c r="M13" s="9">
        <v>41</v>
      </c>
      <c r="N13" s="9">
        <v>28</v>
      </c>
      <c r="O13" s="9">
        <v>68</v>
      </c>
      <c r="P13" s="12">
        <v>6</v>
      </c>
    </row>
    <row r="14" spans="1:16" x14ac:dyDescent="0.3">
      <c r="A14" s="3">
        <v>45924</v>
      </c>
      <c r="B14" s="4" t="s">
        <v>16</v>
      </c>
      <c r="C14" s="5">
        <v>1500</v>
      </c>
      <c r="D14" s="4">
        <v>381.363</v>
      </c>
      <c r="E14" s="13">
        <v>0.254</v>
      </c>
      <c r="F14" s="4">
        <v>1118.6369999999999</v>
      </c>
      <c r="G14" s="6">
        <v>19</v>
      </c>
      <c r="H14" s="4">
        <v>190.57599999999999</v>
      </c>
      <c r="I14" s="4">
        <v>98.09</v>
      </c>
      <c r="J14" s="4">
        <v>0</v>
      </c>
      <c r="K14" s="7">
        <v>92.697000000000003</v>
      </c>
      <c r="L14" s="13">
        <v>0.24299999999999999</v>
      </c>
      <c r="M14" s="4">
        <v>4</v>
      </c>
      <c r="N14" s="4">
        <v>2</v>
      </c>
      <c r="O14" s="4">
        <v>0</v>
      </c>
      <c r="P14" s="7">
        <v>2</v>
      </c>
    </row>
    <row r="15" spans="1:16" x14ac:dyDescent="0.3">
      <c r="A15" s="3">
        <v>45924</v>
      </c>
      <c r="B15" s="4" t="s">
        <v>17</v>
      </c>
      <c r="C15" s="5">
        <v>7500</v>
      </c>
      <c r="D15" s="4">
        <v>1842.962</v>
      </c>
      <c r="E15" s="13">
        <v>0.246</v>
      </c>
      <c r="F15" s="4">
        <v>5657.0379999999996</v>
      </c>
      <c r="G15" s="6">
        <v>126</v>
      </c>
      <c r="H15" s="4">
        <v>435.27699999999999</v>
      </c>
      <c r="I15" s="4">
        <v>354.774</v>
      </c>
      <c r="J15" s="4">
        <v>0</v>
      </c>
      <c r="K15" s="7">
        <v>1052.9110000000001</v>
      </c>
      <c r="L15" s="13">
        <v>0.57099999999999995</v>
      </c>
      <c r="M15" s="4">
        <v>10</v>
      </c>
      <c r="N15" s="4">
        <v>6</v>
      </c>
      <c r="O15" s="4">
        <v>0</v>
      </c>
      <c r="P15" s="7">
        <v>26</v>
      </c>
    </row>
    <row r="16" spans="1:16" x14ac:dyDescent="0.3">
      <c r="A16" s="3">
        <v>45924</v>
      </c>
      <c r="B16" s="4" t="s">
        <v>18</v>
      </c>
      <c r="C16" s="5">
        <v>6000</v>
      </c>
      <c r="D16" s="4">
        <v>2094.6770000000001</v>
      </c>
      <c r="E16" s="13">
        <v>0.34899999999999998</v>
      </c>
      <c r="F16" s="4">
        <v>3905.3229999999999</v>
      </c>
      <c r="G16" s="6">
        <v>118</v>
      </c>
      <c r="H16" s="4">
        <v>0</v>
      </c>
      <c r="I16" s="4">
        <v>833.55100000000004</v>
      </c>
      <c r="J16" s="4">
        <v>83.822999999999993</v>
      </c>
      <c r="K16" s="7">
        <v>1177.3030000000001</v>
      </c>
      <c r="L16" s="13">
        <v>0.56200000000000006</v>
      </c>
      <c r="M16" s="4">
        <v>0</v>
      </c>
      <c r="N16" s="4">
        <v>28</v>
      </c>
      <c r="O16" s="4">
        <v>45</v>
      </c>
      <c r="P16" s="7">
        <v>42</v>
      </c>
    </row>
    <row r="17" spans="1:16" ht="15" thickBot="1" x14ac:dyDescent="0.35">
      <c r="A17" s="8">
        <v>45924</v>
      </c>
      <c r="B17" s="9" t="s">
        <v>19</v>
      </c>
      <c r="C17" s="10">
        <v>5000</v>
      </c>
      <c r="D17" s="9">
        <v>4695.866</v>
      </c>
      <c r="E17" s="14">
        <v>0.93899999999999995</v>
      </c>
      <c r="F17" s="12">
        <v>304.13400000000001</v>
      </c>
      <c r="G17" s="11">
        <v>6</v>
      </c>
      <c r="H17" s="9">
        <v>3210.6860000000001</v>
      </c>
      <c r="I17" s="9">
        <v>570.52499999999998</v>
      </c>
      <c r="J17" s="9">
        <v>125.02200000000001</v>
      </c>
      <c r="K17" s="12">
        <v>789.63300000000004</v>
      </c>
      <c r="L17" s="14">
        <v>0.16800000000000001</v>
      </c>
      <c r="M17" s="9">
        <v>57</v>
      </c>
      <c r="N17" s="9">
        <v>10</v>
      </c>
      <c r="O17" s="9">
        <v>55</v>
      </c>
      <c r="P17" s="12">
        <v>17</v>
      </c>
    </row>
    <row r="18" spans="1:16" x14ac:dyDescent="0.3">
      <c r="A18" s="3">
        <v>45929</v>
      </c>
      <c r="B18" s="4" t="s">
        <v>16</v>
      </c>
      <c r="C18" s="5">
        <v>1500</v>
      </c>
      <c r="D18" s="4">
        <v>248.59200000000001</v>
      </c>
      <c r="E18" s="13">
        <v>0.16600000000000001</v>
      </c>
      <c r="F18" s="4">
        <v>1251.4079999999999</v>
      </c>
      <c r="G18" s="6">
        <v>21</v>
      </c>
      <c r="H18" s="4">
        <v>103.379</v>
      </c>
      <c r="I18" s="4">
        <v>105.30800000000001</v>
      </c>
      <c r="J18" s="4">
        <v>0</v>
      </c>
      <c r="K18" s="7">
        <v>39.905000000000001</v>
      </c>
      <c r="L18" s="13">
        <v>0.161</v>
      </c>
      <c r="M18" s="4">
        <v>2</v>
      </c>
      <c r="N18" s="4">
        <v>2</v>
      </c>
      <c r="O18" s="4">
        <v>0</v>
      </c>
      <c r="P18" s="7">
        <v>1</v>
      </c>
    </row>
    <row r="19" spans="1:16" x14ac:dyDescent="0.3">
      <c r="A19" s="3">
        <v>45929</v>
      </c>
      <c r="B19" s="4" t="s">
        <v>17</v>
      </c>
      <c r="C19" s="5">
        <v>7500</v>
      </c>
      <c r="D19" s="4">
        <v>1607.3040000000001</v>
      </c>
      <c r="E19" s="13">
        <v>0.214</v>
      </c>
      <c r="F19" s="4">
        <v>5892.6959999999999</v>
      </c>
      <c r="G19" s="6">
        <v>131</v>
      </c>
      <c r="H19" s="4">
        <v>0</v>
      </c>
      <c r="I19" s="4">
        <v>357.88200000000001</v>
      </c>
      <c r="J19" s="4">
        <v>409.589</v>
      </c>
      <c r="K19" s="7">
        <v>839.83300000000008</v>
      </c>
      <c r="L19" s="13">
        <v>0.52300000000000002</v>
      </c>
      <c r="M19" s="4">
        <v>0</v>
      </c>
      <c r="N19" s="4">
        <v>6</v>
      </c>
      <c r="O19" s="4">
        <v>33</v>
      </c>
      <c r="P19" s="7">
        <v>21</v>
      </c>
    </row>
    <row r="20" spans="1:16" x14ac:dyDescent="0.3">
      <c r="A20" s="3">
        <v>45929</v>
      </c>
      <c r="B20" s="4" t="s">
        <v>18</v>
      </c>
      <c r="C20" s="5">
        <v>6000</v>
      </c>
      <c r="D20" s="4">
        <v>2679.8020000000001</v>
      </c>
      <c r="E20" s="13">
        <v>0.44700000000000001</v>
      </c>
      <c r="F20" s="4">
        <v>3320.1979999999999</v>
      </c>
      <c r="G20" s="6">
        <v>101</v>
      </c>
      <c r="H20" s="4">
        <v>536.55399999999997</v>
      </c>
      <c r="I20" s="4">
        <v>1493.913</v>
      </c>
      <c r="J20" s="4">
        <v>236.94</v>
      </c>
      <c r="K20" s="7">
        <v>412.39499999999998</v>
      </c>
      <c r="L20" s="13">
        <v>0.154</v>
      </c>
      <c r="M20" s="4">
        <v>18</v>
      </c>
      <c r="N20" s="4">
        <v>50</v>
      </c>
      <c r="O20" s="4">
        <v>133</v>
      </c>
      <c r="P20" s="7">
        <v>15</v>
      </c>
    </row>
    <row r="21" spans="1:16" ht="15" thickBot="1" x14ac:dyDescent="0.35">
      <c r="A21" s="8">
        <v>45929</v>
      </c>
      <c r="B21" s="9" t="s">
        <v>19</v>
      </c>
      <c r="C21" s="10">
        <v>5000</v>
      </c>
      <c r="D21" s="9">
        <v>4696.62</v>
      </c>
      <c r="E21" s="14">
        <v>0.93900000000000006</v>
      </c>
      <c r="F21" s="12">
        <v>303.38000000000011</v>
      </c>
      <c r="G21" s="11">
        <v>6</v>
      </c>
      <c r="H21" s="9">
        <v>2384.54</v>
      </c>
      <c r="I21" s="9">
        <v>2040.33</v>
      </c>
      <c r="J21" s="9">
        <v>203.084</v>
      </c>
      <c r="K21" s="12">
        <v>68.665999999999997</v>
      </c>
      <c r="L21" s="14">
        <v>1.4999999999999999E-2</v>
      </c>
      <c r="M21" s="9">
        <v>43</v>
      </c>
      <c r="N21" s="9">
        <v>43</v>
      </c>
      <c r="O21" s="9">
        <v>170</v>
      </c>
      <c r="P21" s="12">
        <v>1</v>
      </c>
    </row>
    <row r="22" spans="1:16" x14ac:dyDescent="0.3">
      <c r="A22" s="3">
        <v>45930</v>
      </c>
      <c r="B22" s="4" t="s">
        <v>16</v>
      </c>
      <c r="C22" s="5">
        <v>1500</v>
      </c>
      <c r="D22" s="4">
        <v>145.21299999999999</v>
      </c>
      <c r="E22" s="13">
        <v>9.6999999999999989E-2</v>
      </c>
      <c r="F22" s="4">
        <v>1354.787</v>
      </c>
      <c r="G22" s="6">
        <v>23</v>
      </c>
      <c r="H22" s="4">
        <v>156.733</v>
      </c>
      <c r="I22" s="4">
        <v>0</v>
      </c>
      <c r="J22" s="4">
        <v>0</v>
      </c>
      <c r="K22" s="7">
        <v>0</v>
      </c>
      <c r="L22" s="13">
        <v>0</v>
      </c>
      <c r="M22" s="4">
        <v>3</v>
      </c>
      <c r="N22" s="4">
        <v>0</v>
      </c>
      <c r="O22" s="4">
        <v>0</v>
      </c>
      <c r="P22" s="7">
        <v>0</v>
      </c>
    </row>
    <row r="23" spans="1:16" x14ac:dyDescent="0.3">
      <c r="A23" s="3">
        <v>45930</v>
      </c>
      <c r="B23" s="4" t="s">
        <v>17</v>
      </c>
      <c r="C23" s="5">
        <v>7500</v>
      </c>
      <c r="D23" s="4">
        <v>1616.277</v>
      </c>
      <c r="E23" s="13">
        <v>0.21600000000000003</v>
      </c>
      <c r="F23" s="4">
        <v>5883.723</v>
      </c>
      <c r="G23" s="6">
        <v>131</v>
      </c>
      <c r="H23" s="4">
        <v>0</v>
      </c>
      <c r="I23" s="4">
        <v>357.88200000000001</v>
      </c>
      <c r="J23" s="4">
        <v>491.24599999999998</v>
      </c>
      <c r="K23" s="7">
        <v>767.149</v>
      </c>
      <c r="L23" s="13">
        <v>0.47499999999999998</v>
      </c>
      <c r="M23" s="4">
        <v>0</v>
      </c>
      <c r="N23" s="4">
        <v>6</v>
      </c>
      <c r="O23" s="4">
        <v>35</v>
      </c>
      <c r="P23" s="7">
        <v>19</v>
      </c>
    </row>
    <row r="24" spans="1:16" x14ac:dyDescent="0.3">
      <c r="A24" s="3">
        <v>45930</v>
      </c>
      <c r="B24" s="4" t="s">
        <v>18</v>
      </c>
      <c r="C24" s="5">
        <v>6000</v>
      </c>
      <c r="D24" s="4">
        <v>3083.4459999999999</v>
      </c>
      <c r="E24" s="13">
        <v>0.51400000000000001</v>
      </c>
      <c r="F24" s="4">
        <v>2916.5540000000001</v>
      </c>
      <c r="G24" s="6">
        <v>88</v>
      </c>
      <c r="H24" s="4">
        <v>536.55399999999997</v>
      </c>
      <c r="I24" s="4">
        <v>1667.0309999999999</v>
      </c>
      <c r="J24" s="4">
        <v>449.61799999999999</v>
      </c>
      <c r="K24" s="7">
        <v>430.24299999999988</v>
      </c>
      <c r="L24" s="13">
        <v>0.14000000000000001</v>
      </c>
      <c r="M24" s="4">
        <v>18</v>
      </c>
      <c r="N24" s="4">
        <v>56</v>
      </c>
      <c r="O24" s="4">
        <v>148</v>
      </c>
      <c r="P24" s="7">
        <v>15</v>
      </c>
    </row>
    <row r="25" spans="1:16" ht="15" thickBot="1" x14ac:dyDescent="0.35">
      <c r="A25" s="8">
        <v>45930</v>
      </c>
      <c r="B25" s="9" t="s">
        <v>19</v>
      </c>
      <c r="C25" s="10">
        <v>5000</v>
      </c>
      <c r="D25" s="9">
        <v>4355.0919999999996</v>
      </c>
      <c r="E25" s="14">
        <v>0.871</v>
      </c>
      <c r="F25" s="12">
        <v>644.90800000000036</v>
      </c>
      <c r="G25" s="11">
        <v>13</v>
      </c>
      <c r="H25" s="9">
        <v>3655.7719999999999</v>
      </c>
      <c r="I25" s="9">
        <v>505.14600000000002</v>
      </c>
      <c r="J25" s="9">
        <v>50.01</v>
      </c>
      <c r="K25" s="12">
        <v>144.1639999999997</v>
      </c>
      <c r="L25" s="14">
        <v>3.3000000000000002E-2</v>
      </c>
      <c r="M25" s="9">
        <v>73</v>
      </c>
      <c r="N25" s="9">
        <v>11</v>
      </c>
      <c r="O25" s="9">
        <v>159</v>
      </c>
      <c r="P25" s="12">
        <v>3</v>
      </c>
    </row>
    <row r="26" spans="1:16" x14ac:dyDescent="0.3">
      <c r="A26" s="3">
        <v>45931</v>
      </c>
      <c r="B26" s="4" t="s">
        <v>16</v>
      </c>
      <c r="C26" s="5">
        <v>1500</v>
      </c>
      <c r="D26" s="4">
        <v>145.21299999999999</v>
      </c>
      <c r="E26" s="31">
        <v>9.6999999999999989E-2</v>
      </c>
      <c r="F26" s="4">
        <v>1354.787</v>
      </c>
      <c r="G26" s="6">
        <v>25</v>
      </c>
      <c r="H26" s="4">
        <v>105.30800000000001</v>
      </c>
      <c r="I26" s="4">
        <v>0</v>
      </c>
      <c r="J26" s="4">
        <v>0</v>
      </c>
      <c r="K26" s="7">
        <v>39.905000000000001</v>
      </c>
      <c r="L26" s="13">
        <v>0.27500000000000002</v>
      </c>
      <c r="M26" s="4">
        <v>2</v>
      </c>
      <c r="N26" s="4">
        <v>0</v>
      </c>
      <c r="O26" s="4">
        <v>0</v>
      </c>
      <c r="P26" s="7">
        <v>1</v>
      </c>
    </row>
    <row r="27" spans="1:16" x14ac:dyDescent="0.3">
      <c r="A27" s="3">
        <v>45931</v>
      </c>
      <c r="B27" s="4" t="s">
        <v>17</v>
      </c>
      <c r="C27" s="5">
        <v>7500</v>
      </c>
      <c r="D27" s="4">
        <v>1742.3589999999999</v>
      </c>
      <c r="E27" s="31">
        <v>0.23199999999999998</v>
      </c>
      <c r="F27" s="4">
        <v>5757.6409999999996</v>
      </c>
      <c r="G27" s="6">
        <v>137</v>
      </c>
      <c r="H27" s="4">
        <v>0</v>
      </c>
      <c r="I27" s="4">
        <v>572.61400000000003</v>
      </c>
      <c r="J27" s="4">
        <v>430.44600000000003</v>
      </c>
      <c r="K27" s="7">
        <v>739.29899999999986</v>
      </c>
      <c r="L27" s="13">
        <v>0.42399999999999999</v>
      </c>
      <c r="M27" s="4">
        <v>0</v>
      </c>
      <c r="N27" s="4">
        <v>11</v>
      </c>
      <c r="O27" s="4">
        <v>30</v>
      </c>
      <c r="P27" s="7">
        <v>18</v>
      </c>
    </row>
    <row r="28" spans="1:16" x14ac:dyDescent="0.3">
      <c r="A28" s="3">
        <v>45931</v>
      </c>
      <c r="B28" s="4" t="s">
        <v>18</v>
      </c>
      <c r="C28" s="5">
        <v>6000</v>
      </c>
      <c r="D28" s="4">
        <v>3253.828</v>
      </c>
      <c r="E28" s="31">
        <v>0.54200000000000004</v>
      </c>
      <c r="F28" s="4">
        <v>2746.172</v>
      </c>
      <c r="G28" s="6">
        <v>83</v>
      </c>
      <c r="H28" s="4">
        <v>208.85599999999999</v>
      </c>
      <c r="I28" s="4">
        <v>2039.134</v>
      </c>
      <c r="J28" s="4">
        <v>578.61099999999999</v>
      </c>
      <c r="K28" s="7">
        <v>427.22699999999969</v>
      </c>
      <c r="L28" s="13">
        <v>0.13100000000000001</v>
      </c>
      <c r="M28" s="4">
        <v>7</v>
      </c>
      <c r="N28" s="4">
        <v>69</v>
      </c>
      <c r="O28" s="4">
        <v>122</v>
      </c>
      <c r="P28" s="7">
        <v>15</v>
      </c>
    </row>
    <row r="29" spans="1:16" ht="15" thickBot="1" x14ac:dyDescent="0.35">
      <c r="A29" s="8">
        <v>45931</v>
      </c>
      <c r="B29" s="9" t="s">
        <v>19</v>
      </c>
      <c r="C29" s="10">
        <v>5000</v>
      </c>
      <c r="D29" s="9">
        <v>4553.674</v>
      </c>
      <c r="E29" s="32">
        <v>0.91099999999999992</v>
      </c>
      <c r="F29" s="12">
        <v>446.32600000000002</v>
      </c>
      <c r="G29" s="11">
        <v>9</v>
      </c>
      <c r="H29" s="9">
        <v>3484.9789999999998</v>
      </c>
      <c r="I29" s="9">
        <v>741.75400000000002</v>
      </c>
      <c r="J29" s="9">
        <v>61.485999999999997</v>
      </c>
      <c r="K29" s="12">
        <v>265.45500000000021</v>
      </c>
      <c r="L29" s="14">
        <v>5.7999999999999996E-2</v>
      </c>
      <c r="M29" s="9">
        <v>77</v>
      </c>
      <c r="N29" s="9">
        <v>16</v>
      </c>
      <c r="O29" s="9">
        <v>169</v>
      </c>
      <c r="P29" s="12">
        <v>6</v>
      </c>
    </row>
    <row r="30" spans="1:16" x14ac:dyDescent="0.3">
      <c r="A30" s="3">
        <v>45932</v>
      </c>
      <c r="B30" s="4" t="s">
        <v>16</v>
      </c>
      <c r="C30" s="5">
        <v>1500</v>
      </c>
      <c r="D30" s="4">
        <v>145.21299999999999</v>
      </c>
      <c r="E30" s="31">
        <v>9.6999999999999989E-2</v>
      </c>
      <c r="F30" s="4">
        <v>1354.787</v>
      </c>
      <c r="G30" s="6">
        <v>25</v>
      </c>
      <c r="H30" s="4">
        <v>105.30800000000001</v>
      </c>
      <c r="I30" s="4">
        <v>0</v>
      </c>
      <c r="J30" s="4">
        <v>0</v>
      </c>
      <c r="K30" s="7">
        <v>39.905000000000001</v>
      </c>
      <c r="L30" s="13">
        <v>0.27500000000000002</v>
      </c>
      <c r="M30" s="4">
        <v>2</v>
      </c>
      <c r="N30" s="4">
        <v>0</v>
      </c>
      <c r="O30" s="4">
        <v>0</v>
      </c>
      <c r="P30" s="7">
        <v>1</v>
      </c>
    </row>
    <row r="31" spans="1:16" x14ac:dyDescent="0.3">
      <c r="A31" s="3">
        <v>45932</v>
      </c>
      <c r="B31" s="4" t="s">
        <v>17</v>
      </c>
      <c r="C31" s="5">
        <v>7500</v>
      </c>
      <c r="D31" s="4">
        <v>1807.635</v>
      </c>
      <c r="E31" s="31">
        <v>0.24100000000000002</v>
      </c>
      <c r="F31" s="4">
        <v>5692.3649999999998</v>
      </c>
      <c r="G31" s="6">
        <v>136</v>
      </c>
      <c r="H31" s="4">
        <v>0</v>
      </c>
      <c r="I31" s="4">
        <v>751.61900000000003</v>
      </c>
      <c r="J31" s="4">
        <v>288.55399999999997</v>
      </c>
      <c r="K31" s="7">
        <v>767.4620000000001</v>
      </c>
      <c r="L31" s="13">
        <v>0.42499999999999999</v>
      </c>
      <c r="M31" s="4">
        <v>0</v>
      </c>
      <c r="N31" s="4">
        <v>6</v>
      </c>
      <c r="O31" s="4">
        <v>12</v>
      </c>
      <c r="P31" s="7">
        <v>18</v>
      </c>
    </row>
    <row r="32" spans="1:16" x14ac:dyDescent="0.3">
      <c r="A32" s="3">
        <v>45932</v>
      </c>
      <c r="B32" s="4" t="s">
        <v>18</v>
      </c>
      <c r="C32" s="5">
        <v>6000</v>
      </c>
      <c r="D32" s="4">
        <v>3647.51</v>
      </c>
      <c r="E32" s="31">
        <v>0.60799999999999998</v>
      </c>
      <c r="F32" s="4">
        <v>2352.4899999999998</v>
      </c>
      <c r="G32" s="6">
        <v>71</v>
      </c>
      <c r="H32" s="4">
        <v>208.85599999999999</v>
      </c>
      <c r="I32" s="4">
        <v>2674.3490000000002</v>
      </c>
      <c r="J32" s="4">
        <v>540.024</v>
      </c>
      <c r="K32" s="7">
        <v>224.28100000000029</v>
      </c>
      <c r="L32" s="13">
        <v>6.0999999999999999E-2</v>
      </c>
      <c r="M32" s="4">
        <v>7</v>
      </c>
      <c r="N32" s="4">
        <v>75</v>
      </c>
      <c r="O32" s="4">
        <v>91</v>
      </c>
      <c r="P32" s="7">
        <v>8</v>
      </c>
    </row>
    <row r="33" spans="1:16" ht="15" thickBot="1" x14ac:dyDescent="0.35">
      <c r="A33" s="8">
        <v>45932</v>
      </c>
      <c r="B33" s="9" t="s">
        <v>19</v>
      </c>
      <c r="C33" s="10">
        <v>5000</v>
      </c>
      <c r="D33" s="9">
        <v>4654.2820000000002</v>
      </c>
      <c r="E33" s="32">
        <v>0.93099999999999994</v>
      </c>
      <c r="F33" s="12">
        <v>345.71799999999979</v>
      </c>
      <c r="G33" s="11">
        <v>7</v>
      </c>
      <c r="H33" s="9">
        <v>3382.6909999999998</v>
      </c>
      <c r="I33" s="9">
        <v>1157.7929999999999</v>
      </c>
      <c r="J33" s="9">
        <v>122.67</v>
      </c>
      <c r="K33" s="12">
        <v>0</v>
      </c>
      <c r="L33" s="14">
        <v>0</v>
      </c>
      <c r="M33" s="9">
        <v>75</v>
      </c>
      <c r="N33" s="9">
        <v>25</v>
      </c>
      <c r="O33" s="9">
        <v>200</v>
      </c>
      <c r="P33" s="12">
        <v>0</v>
      </c>
    </row>
    <row r="34" spans="1:16" x14ac:dyDescent="0.3">
      <c r="A34" s="3">
        <v>45933</v>
      </c>
      <c r="B34" s="4" t="s">
        <v>16</v>
      </c>
      <c r="C34" s="5">
        <v>1500</v>
      </c>
      <c r="D34" s="4">
        <v>145.21299999999999</v>
      </c>
      <c r="E34" s="31">
        <v>9.6999999999999989E-2</v>
      </c>
      <c r="F34" s="4">
        <v>1354.787</v>
      </c>
      <c r="G34" s="6">
        <v>25</v>
      </c>
      <c r="H34" s="4">
        <v>105.30800000000001</v>
      </c>
      <c r="I34" s="4">
        <v>0</v>
      </c>
      <c r="J34" s="4">
        <v>0</v>
      </c>
      <c r="K34" s="7">
        <v>39.905000000000001</v>
      </c>
      <c r="L34" s="13">
        <v>0.27500000000000002</v>
      </c>
      <c r="M34" s="4">
        <v>2</v>
      </c>
      <c r="N34" s="4">
        <v>0</v>
      </c>
      <c r="O34" s="4">
        <v>0</v>
      </c>
      <c r="P34" s="7">
        <v>1</v>
      </c>
    </row>
    <row r="35" spans="1:16" x14ac:dyDescent="0.3">
      <c r="A35" s="3">
        <v>45933</v>
      </c>
      <c r="B35" s="4" t="s">
        <v>17</v>
      </c>
      <c r="C35" s="5">
        <v>7500</v>
      </c>
      <c r="D35" s="4">
        <v>2012.614</v>
      </c>
      <c r="E35" s="31">
        <v>0.26800000000000002</v>
      </c>
      <c r="F35" s="4">
        <v>5487.3860000000004</v>
      </c>
      <c r="G35" s="6">
        <v>131</v>
      </c>
      <c r="H35" s="4">
        <v>523.79500000000007</v>
      </c>
      <c r="I35" s="4">
        <v>475.786</v>
      </c>
      <c r="J35" s="4">
        <v>208.458</v>
      </c>
      <c r="K35" s="7">
        <v>804.57499999999993</v>
      </c>
      <c r="L35" s="13">
        <v>0.4</v>
      </c>
      <c r="M35" s="4">
        <v>6</v>
      </c>
      <c r="N35" s="4">
        <v>3</v>
      </c>
      <c r="O35" s="4">
        <v>9</v>
      </c>
      <c r="P35" s="7">
        <v>19</v>
      </c>
    </row>
    <row r="36" spans="1:16" x14ac:dyDescent="0.3">
      <c r="A36" s="3">
        <v>45933</v>
      </c>
      <c r="B36" s="4" t="s">
        <v>18</v>
      </c>
      <c r="C36" s="5">
        <v>6000</v>
      </c>
      <c r="D36" s="4">
        <v>3706.2860000000001</v>
      </c>
      <c r="E36" s="31">
        <v>0.61799999999999999</v>
      </c>
      <c r="F36" s="4">
        <v>2293.7139999999999</v>
      </c>
      <c r="G36" s="6">
        <v>70</v>
      </c>
      <c r="H36" s="4">
        <v>1175.1089999999999</v>
      </c>
      <c r="I36" s="4">
        <v>1643.2339999999999</v>
      </c>
      <c r="J36" s="4">
        <v>430.65800000000002</v>
      </c>
      <c r="K36" s="7">
        <v>457.2850000000002</v>
      </c>
      <c r="L36" s="13">
        <v>0.12300000000000001</v>
      </c>
      <c r="M36" s="4">
        <v>38</v>
      </c>
      <c r="N36" s="4">
        <v>41</v>
      </c>
      <c r="O36" s="4">
        <v>114</v>
      </c>
      <c r="P36" s="7">
        <v>16</v>
      </c>
    </row>
    <row r="37" spans="1:16" ht="15" thickBot="1" x14ac:dyDescent="0.35">
      <c r="A37" s="8">
        <v>45933</v>
      </c>
      <c r="B37" s="9" t="s">
        <v>19</v>
      </c>
      <c r="C37" s="10">
        <v>5000</v>
      </c>
      <c r="D37" s="9">
        <v>4858.9870000000001</v>
      </c>
      <c r="E37" s="32">
        <v>0.97199999999999998</v>
      </c>
      <c r="F37" s="12">
        <v>141.01299999999989</v>
      </c>
      <c r="G37" s="11">
        <v>3</v>
      </c>
      <c r="H37" s="9">
        <v>3083.2190000000001</v>
      </c>
      <c r="I37" s="9">
        <v>1754.298</v>
      </c>
      <c r="J37" s="9">
        <v>167.95</v>
      </c>
      <c r="K37" s="12">
        <v>0</v>
      </c>
      <c r="L37" s="14">
        <v>0</v>
      </c>
      <c r="M37" s="9">
        <v>68</v>
      </c>
      <c r="N37" s="9">
        <v>38</v>
      </c>
      <c r="O37" s="9">
        <v>187</v>
      </c>
      <c r="P37" s="12">
        <v>0</v>
      </c>
    </row>
    <row r="38" spans="1:16" x14ac:dyDescent="0.3">
      <c r="A38" s="3">
        <v>45936</v>
      </c>
      <c r="B38" s="4" t="s">
        <v>16</v>
      </c>
      <c r="C38" s="5">
        <v>1500</v>
      </c>
      <c r="D38" s="4">
        <v>150.999</v>
      </c>
      <c r="E38" s="31">
        <v>0.10099999999999999</v>
      </c>
      <c r="F38" s="4">
        <v>1349.001</v>
      </c>
      <c r="G38" s="6">
        <v>25</v>
      </c>
      <c r="H38" s="4">
        <v>105.30800000000001</v>
      </c>
      <c r="I38" s="4">
        <v>0</v>
      </c>
      <c r="J38" s="4">
        <v>0</v>
      </c>
      <c r="K38" s="7">
        <v>45.691000000000003</v>
      </c>
      <c r="L38" s="13">
        <v>0.30299999999999999</v>
      </c>
      <c r="M38" s="4">
        <v>2</v>
      </c>
      <c r="N38" s="4">
        <v>0</v>
      </c>
      <c r="O38" s="4">
        <v>0</v>
      </c>
      <c r="P38" s="7">
        <v>1</v>
      </c>
    </row>
    <row r="39" spans="1:16" x14ac:dyDescent="0.3">
      <c r="A39" s="3">
        <v>45936</v>
      </c>
      <c r="B39" s="4" t="s">
        <v>17</v>
      </c>
      <c r="C39" s="5">
        <v>7500</v>
      </c>
      <c r="D39" s="4">
        <v>2050.1370000000002</v>
      </c>
      <c r="E39" s="31">
        <v>0.27300000000000002</v>
      </c>
      <c r="F39" s="4">
        <v>5449.8629999999994</v>
      </c>
      <c r="G39" s="6">
        <v>130</v>
      </c>
      <c r="H39" s="4">
        <v>0</v>
      </c>
      <c r="I39" s="4">
        <v>999.58100000000002</v>
      </c>
      <c r="J39" s="4">
        <v>245.98099999999999</v>
      </c>
      <c r="K39" s="7">
        <v>804.57500000000005</v>
      </c>
      <c r="L39" s="13">
        <v>0.39200000000000002</v>
      </c>
      <c r="M39" s="4">
        <v>0</v>
      </c>
      <c r="N39" s="4">
        <v>9</v>
      </c>
      <c r="O39" s="4">
        <v>9</v>
      </c>
      <c r="P39" s="7">
        <v>19</v>
      </c>
    </row>
    <row r="40" spans="1:16" x14ac:dyDescent="0.3">
      <c r="A40" s="3">
        <v>45936</v>
      </c>
      <c r="B40" s="4" t="s">
        <v>18</v>
      </c>
      <c r="C40" s="5">
        <v>6000</v>
      </c>
      <c r="D40" s="4">
        <v>3918.7559999999999</v>
      </c>
      <c r="E40" s="31">
        <v>0.65300000000000002</v>
      </c>
      <c r="F40" s="4">
        <v>2081.2440000000001</v>
      </c>
      <c r="G40" s="6">
        <v>63</v>
      </c>
      <c r="H40" s="4">
        <v>1213.0909999999999</v>
      </c>
      <c r="I40" s="4">
        <v>1945.2280000000001</v>
      </c>
      <c r="J40" s="4">
        <v>359.08800000000002</v>
      </c>
      <c r="K40" s="7">
        <v>401.34899999999988</v>
      </c>
      <c r="L40" s="13">
        <v>0.10199999999999999</v>
      </c>
      <c r="M40" s="4">
        <v>39</v>
      </c>
      <c r="N40" s="4">
        <v>51</v>
      </c>
      <c r="O40" s="4">
        <v>104</v>
      </c>
      <c r="P40" s="7">
        <v>14</v>
      </c>
    </row>
    <row r="41" spans="1:16" ht="15" thickBot="1" x14ac:dyDescent="0.35">
      <c r="A41" s="8">
        <v>45936</v>
      </c>
      <c r="B41" s="9" t="s">
        <v>19</v>
      </c>
      <c r="C41" s="10">
        <v>5000</v>
      </c>
      <c r="D41" s="9">
        <v>5062.29</v>
      </c>
      <c r="E41" s="32">
        <v>1.012</v>
      </c>
      <c r="F41" s="12">
        <v>0</v>
      </c>
      <c r="G41" s="11">
        <v>0</v>
      </c>
      <c r="H41" s="9">
        <v>4633.3599999999997</v>
      </c>
      <c r="I41" s="9">
        <f>D41-H41-J41</f>
        <v>382.77300000000031</v>
      </c>
      <c r="J41" s="9">
        <v>46.156999999999996</v>
      </c>
      <c r="K41" s="12">
        <v>0</v>
      </c>
      <c r="L41" s="14">
        <v>0</v>
      </c>
      <c r="M41" s="9">
        <v>101</v>
      </c>
      <c r="N41" s="9">
        <v>15</v>
      </c>
      <c r="O41" s="9">
        <v>125</v>
      </c>
      <c r="P41" s="12">
        <v>0</v>
      </c>
    </row>
    <row r="42" spans="1:16" x14ac:dyDescent="0.3">
      <c r="A42" s="3">
        <v>45937</v>
      </c>
      <c r="B42" s="4" t="s">
        <v>16</v>
      </c>
      <c r="C42" s="5">
        <v>1500</v>
      </c>
      <c r="D42" s="4">
        <v>45.691000000000003</v>
      </c>
      <c r="E42" s="31">
        <v>0.03</v>
      </c>
      <c r="F42" s="4">
        <v>1454.309</v>
      </c>
      <c r="G42" s="6">
        <v>26</v>
      </c>
      <c r="H42" s="4">
        <v>0</v>
      </c>
      <c r="I42" s="4">
        <v>0</v>
      </c>
      <c r="J42" s="4">
        <v>0</v>
      </c>
      <c r="K42" s="7">
        <v>45.691000000000003</v>
      </c>
      <c r="L42" s="13">
        <v>1</v>
      </c>
      <c r="M42" s="4">
        <v>0</v>
      </c>
      <c r="N42" s="4">
        <v>0</v>
      </c>
      <c r="O42" s="4">
        <v>0</v>
      </c>
      <c r="P42" s="7">
        <v>1</v>
      </c>
    </row>
    <row r="43" spans="1:16" x14ac:dyDescent="0.3">
      <c r="A43" s="3">
        <v>45937</v>
      </c>
      <c r="B43" s="4" t="s">
        <v>17</v>
      </c>
      <c r="C43" s="5">
        <v>7500</v>
      </c>
      <c r="D43" s="4">
        <v>2050.1370000000002</v>
      </c>
      <c r="E43" s="31">
        <v>0.27300000000000002</v>
      </c>
      <c r="F43" s="4">
        <v>5449.8629999999994</v>
      </c>
      <c r="G43" s="6">
        <v>130</v>
      </c>
      <c r="H43" s="4">
        <v>0</v>
      </c>
      <c r="I43" s="4">
        <v>999.58100000000002</v>
      </c>
      <c r="J43" s="4">
        <v>245.98099999999999</v>
      </c>
      <c r="K43" s="7">
        <v>804.57500000000005</v>
      </c>
      <c r="L43" s="13">
        <v>0.39200000000000002</v>
      </c>
      <c r="M43" s="4">
        <v>0</v>
      </c>
      <c r="N43" s="4">
        <v>9</v>
      </c>
      <c r="O43" s="4">
        <v>9</v>
      </c>
      <c r="P43" s="7">
        <v>19</v>
      </c>
    </row>
    <row r="44" spans="1:16" x14ac:dyDescent="0.3">
      <c r="A44" s="3">
        <v>45937</v>
      </c>
      <c r="B44" s="4" t="s">
        <v>18</v>
      </c>
      <c r="C44" s="5">
        <v>6000</v>
      </c>
      <c r="D44" s="4">
        <v>3221.6320000000001</v>
      </c>
      <c r="E44" s="31">
        <v>0.53700000000000003</v>
      </c>
      <c r="F44" s="4">
        <v>2778.3679999999999</v>
      </c>
      <c r="G44" s="6">
        <v>84</v>
      </c>
      <c r="H44" s="4">
        <v>482.89100000000002</v>
      </c>
      <c r="I44" s="4">
        <v>2080.8679999999999</v>
      </c>
      <c r="J44" s="4">
        <v>285.66199999999998</v>
      </c>
      <c r="K44" s="7">
        <v>372.21100000000013</v>
      </c>
      <c r="L44" s="13">
        <v>0.11599999999999999</v>
      </c>
      <c r="M44" s="4">
        <v>15</v>
      </c>
      <c r="N44" s="4">
        <v>55</v>
      </c>
      <c r="O44" s="4">
        <v>95</v>
      </c>
      <c r="P44" s="7">
        <v>13</v>
      </c>
    </row>
    <row r="45" spans="1:16" ht="15" thickBot="1" x14ac:dyDescent="0.35">
      <c r="A45" s="8">
        <v>45937</v>
      </c>
      <c r="B45" s="9" t="s">
        <v>19</v>
      </c>
      <c r="C45" s="10">
        <v>5000</v>
      </c>
      <c r="D45" s="9">
        <v>4983.4250000000002</v>
      </c>
      <c r="E45" s="32">
        <v>0.997</v>
      </c>
      <c r="F45" s="12">
        <v>16.574999999999822</v>
      </c>
      <c r="G45" s="11">
        <v>0</v>
      </c>
      <c r="H45" s="9">
        <v>3851.2950000000001</v>
      </c>
      <c r="I45" s="9">
        <v>964.25400000000002</v>
      </c>
      <c r="J45" s="9">
        <v>84.275999999999996</v>
      </c>
      <c r="K45" s="12">
        <v>83.600000000000094</v>
      </c>
      <c r="L45" s="14">
        <v>1.7000000000000001E-2</v>
      </c>
      <c r="M45" s="9">
        <v>84</v>
      </c>
      <c r="N45" s="9">
        <v>21</v>
      </c>
      <c r="O45" s="9">
        <v>136</v>
      </c>
      <c r="P45" s="12">
        <v>2</v>
      </c>
    </row>
    <row r="46" spans="1:16" x14ac:dyDescent="0.3">
      <c r="A46" s="3">
        <v>45938</v>
      </c>
      <c r="B46" s="4" t="s">
        <v>16</v>
      </c>
      <c r="C46" s="5">
        <v>1500</v>
      </c>
      <c r="D46" s="4">
        <v>45.691000000000003</v>
      </c>
      <c r="E46" s="31">
        <v>0.03</v>
      </c>
      <c r="F46" s="4">
        <v>1454.309</v>
      </c>
      <c r="G46" s="6">
        <v>26</v>
      </c>
      <c r="H46" s="4">
        <v>0</v>
      </c>
      <c r="I46" s="4">
        <v>0</v>
      </c>
      <c r="J46" s="4">
        <v>0</v>
      </c>
      <c r="K46" s="7">
        <v>45.691000000000003</v>
      </c>
      <c r="L46" s="13">
        <v>1</v>
      </c>
      <c r="M46" s="4">
        <v>0</v>
      </c>
      <c r="N46" s="4">
        <v>0</v>
      </c>
      <c r="O46" s="4">
        <v>0</v>
      </c>
      <c r="P46" s="7">
        <v>1</v>
      </c>
    </row>
    <row r="47" spans="1:16" x14ac:dyDescent="0.3">
      <c r="A47" s="3">
        <v>45938</v>
      </c>
      <c r="B47" s="4" t="s">
        <v>17</v>
      </c>
      <c r="C47" s="5">
        <v>7500</v>
      </c>
      <c r="D47" s="4">
        <v>2091.7139999999999</v>
      </c>
      <c r="E47" s="31">
        <v>0.27899999999999997</v>
      </c>
      <c r="F47" s="4">
        <v>5408.2860000000001</v>
      </c>
      <c r="G47" s="6">
        <v>129</v>
      </c>
      <c r="H47" s="4">
        <v>0</v>
      </c>
      <c r="I47" s="4">
        <v>999.58100000000002</v>
      </c>
      <c r="J47" s="4">
        <v>245.98099999999999</v>
      </c>
      <c r="K47" s="7">
        <v>846.15199999999982</v>
      </c>
      <c r="L47" s="13">
        <v>0.40500000000000003</v>
      </c>
      <c r="M47" s="4">
        <v>0</v>
      </c>
      <c r="N47" s="4">
        <v>19</v>
      </c>
      <c r="O47" s="4">
        <v>15</v>
      </c>
      <c r="P47" s="7">
        <v>20</v>
      </c>
    </row>
    <row r="48" spans="1:16" x14ac:dyDescent="0.3">
      <c r="A48" s="3">
        <v>45938</v>
      </c>
      <c r="B48" s="4" t="s">
        <v>18</v>
      </c>
      <c r="C48" s="5">
        <v>6000</v>
      </c>
      <c r="D48" s="4">
        <v>3484.9769999999999</v>
      </c>
      <c r="E48" s="31">
        <v>0.58099999999999996</v>
      </c>
      <c r="F48" s="4">
        <v>2515.0230000000001</v>
      </c>
      <c r="G48" s="6">
        <v>76</v>
      </c>
      <c r="H48" s="4">
        <v>60.648000000000003</v>
      </c>
      <c r="I48" s="4">
        <v>2938.752</v>
      </c>
      <c r="J48" s="4">
        <v>299.11799999999999</v>
      </c>
      <c r="K48" s="7">
        <v>186.4589999999998</v>
      </c>
      <c r="L48" s="13">
        <v>5.4000000000000006E-2</v>
      </c>
      <c r="M48" s="4">
        <v>2</v>
      </c>
      <c r="N48" s="4">
        <v>98</v>
      </c>
      <c r="O48" s="4">
        <v>121</v>
      </c>
      <c r="P48" s="7">
        <v>6</v>
      </c>
    </row>
    <row r="49" spans="1:16" ht="15" thickBot="1" x14ac:dyDescent="0.35">
      <c r="A49" s="8">
        <v>45938</v>
      </c>
      <c r="B49" s="9" t="s">
        <v>19</v>
      </c>
      <c r="C49" s="10">
        <v>5000</v>
      </c>
      <c r="D49" s="9">
        <v>4477.3830000000007</v>
      </c>
      <c r="E49" s="32">
        <v>0.89500000000000002</v>
      </c>
      <c r="F49" s="12">
        <v>522.61699999999928</v>
      </c>
      <c r="G49" s="11">
        <v>11</v>
      </c>
      <c r="H49" s="9">
        <v>3081.8159999999998</v>
      </c>
      <c r="I49" s="9">
        <v>1464.7570000000001</v>
      </c>
      <c r="J49" s="9">
        <v>49.289000000000001</v>
      </c>
      <c r="K49" s="12">
        <v>0</v>
      </c>
      <c r="L49" s="14">
        <v>0</v>
      </c>
      <c r="M49" s="9">
        <v>67</v>
      </c>
      <c r="N49" s="9">
        <v>32</v>
      </c>
      <c r="O49" s="9">
        <v>126</v>
      </c>
      <c r="P49" s="12">
        <v>0</v>
      </c>
    </row>
    <row r="50" spans="1:16" x14ac:dyDescent="0.3">
      <c r="A50" s="3">
        <v>45939</v>
      </c>
      <c r="B50" s="4" t="s">
        <v>16</v>
      </c>
      <c r="C50" s="5">
        <v>1500</v>
      </c>
      <c r="D50" s="4">
        <v>45.691000000000003</v>
      </c>
      <c r="E50" s="31">
        <v>0.03</v>
      </c>
      <c r="F50" s="4">
        <v>1454.309</v>
      </c>
      <c r="G50" s="6">
        <v>26</v>
      </c>
      <c r="H50" s="4">
        <v>0</v>
      </c>
      <c r="I50" s="4">
        <v>0</v>
      </c>
      <c r="J50" s="4">
        <v>0</v>
      </c>
      <c r="K50" s="7">
        <v>45.691000000000003</v>
      </c>
      <c r="L50" s="13">
        <v>1</v>
      </c>
      <c r="M50" s="4">
        <v>0</v>
      </c>
      <c r="N50" s="4">
        <v>0</v>
      </c>
      <c r="O50" s="4">
        <v>0</v>
      </c>
      <c r="P50" s="7">
        <v>1</v>
      </c>
    </row>
    <row r="51" spans="1:16" x14ac:dyDescent="0.3">
      <c r="A51" s="3">
        <v>45939</v>
      </c>
      <c r="B51" s="4" t="s">
        <v>17</v>
      </c>
      <c r="C51" s="5">
        <v>7500</v>
      </c>
      <c r="D51" s="4">
        <v>1982.6379999999999</v>
      </c>
      <c r="E51" s="31">
        <v>0.26400000000000001</v>
      </c>
      <c r="F51" s="4">
        <v>5517.3620000000001</v>
      </c>
      <c r="G51" s="6">
        <v>131</v>
      </c>
      <c r="H51" s="4">
        <v>475.786</v>
      </c>
      <c r="I51" s="4">
        <v>523.79500000000007</v>
      </c>
      <c r="J51" s="4">
        <v>213.608</v>
      </c>
      <c r="K51" s="7">
        <v>769.44899999999984</v>
      </c>
      <c r="L51" s="13">
        <v>0.38799999999999996</v>
      </c>
      <c r="M51" s="4">
        <v>11</v>
      </c>
      <c r="N51" s="4">
        <v>8</v>
      </c>
      <c r="O51" s="4">
        <v>16</v>
      </c>
      <c r="P51" s="7">
        <v>18</v>
      </c>
    </row>
    <row r="52" spans="1:16" x14ac:dyDescent="0.3">
      <c r="A52" s="3">
        <v>45939</v>
      </c>
      <c r="B52" s="4" t="s">
        <v>18</v>
      </c>
      <c r="C52" s="5">
        <v>6000</v>
      </c>
      <c r="D52" s="4">
        <v>3848.7640000000001</v>
      </c>
      <c r="E52" s="31">
        <v>0.6409999999999999</v>
      </c>
      <c r="F52" s="4">
        <v>2151.2359999999999</v>
      </c>
      <c r="G52" s="6">
        <v>65</v>
      </c>
      <c r="H52" s="4">
        <v>503.971</v>
      </c>
      <c r="I52" s="4">
        <v>2615.9679999999998</v>
      </c>
      <c r="J52" s="4">
        <v>409.30799999999999</v>
      </c>
      <c r="K52" s="7">
        <v>319.51700000000028</v>
      </c>
      <c r="L52" s="13">
        <v>8.3000000000000004E-2</v>
      </c>
      <c r="M52" s="4">
        <v>17</v>
      </c>
      <c r="N52" s="4">
        <v>87</v>
      </c>
      <c r="O52" s="4">
        <v>116</v>
      </c>
      <c r="P52" s="7">
        <v>11</v>
      </c>
    </row>
    <row r="53" spans="1:16" ht="15" thickBot="1" x14ac:dyDescent="0.35">
      <c r="A53" s="8">
        <v>45939</v>
      </c>
      <c r="B53" s="9" t="s">
        <v>19</v>
      </c>
      <c r="C53" s="10">
        <v>5000</v>
      </c>
      <c r="D53" s="9">
        <v>4250.26</v>
      </c>
      <c r="E53" s="32">
        <v>0.85</v>
      </c>
      <c r="F53" s="12">
        <v>749.73999999999978</v>
      </c>
      <c r="G53" s="11">
        <v>16</v>
      </c>
      <c r="H53" s="9">
        <v>2496.5189999999998</v>
      </c>
      <c r="I53" s="9">
        <v>1658.2840000000001</v>
      </c>
      <c r="J53" s="9">
        <v>74.37</v>
      </c>
      <c r="K53" s="12">
        <v>21.087000000000099</v>
      </c>
      <c r="L53" s="14">
        <v>5.0000000000000001E-3</v>
      </c>
      <c r="M53" s="9">
        <v>54</v>
      </c>
      <c r="N53" s="9">
        <v>36</v>
      </c>
      <c r="O53" s="9">
        <v>130</v>
      </c>
      <c r="P53" s="12">
        <v>0</v>
      </c>
    </row>
    <row r="54" spans="1:16" x14ac:dyDescent="0.3">
      <c r="A54" s="3">
        <v>45940</v>
      </c>
      <c r="B54" s="4" t="s">
        <v>16</v>
      </c>
      <c r="C54" s="5">
        <v>1500</v>
      </c>
      <c r="D54" s="4">
        <v>45.691000000000003</v>
      </c>
      <c r="E54" s="31">
        <v>0.03</v>
      </c>
      <c r="F54" s="4">
        <v>1454.309</v>
      </c>
      <c r="G54" s="6">
        <v>26</v>
      </c>
      <c r="H54" s="4">
        <v>0</v>
      </c>
      <c r="I54" s="4">
        <v>0</v>
      </c>
      <c r="J54" s="4">
        <v>0</v>
      </c>
      <c r="K54" s="7">
        <v>45.691000000000003</v>
      </c>
      <c r="L54" s="13">
        <v>1</v>
      </c>
      <c r="M54" s="4">
        <v>0</v>
      </c>
      <c r="N54" s="4">
        <v>0</v>
      </c>
      <c r="O54" s="4">
        <v>0</v>
      </c>
      <c r="P54" s="7">
        <v>1</v>
      </c>
    </row>
    <row r="55" spans="1:16" x14ac:dyDescent="0.3">
      <c r="A55" s="3">
        <v>45940</v>
      </c>
      <c r="B55" s="4" t="s">
        <v>17</v>
      </c>
      <c r="C55" s="5">
        <v>7500</v>
      </c>
      <c r="D55" s="4">
        <v>1805.7619999999999</v>
      </c>
      <c r="E55" s="31">
        <v>0.24100000000000002</v>
      </c>
      <c r="F55" s="4">
        <v>5694.2380000000003</v>
      </c>
      <c r="G55" s="6">
        <v>136</v>
      </c>
      <c r="H55" s="4">
        <v>383.28899999999999</v>
      </c>
      <c r="I55" s="4">
        <v>644.09699999999998</v>
      </c>
      <c r="J55" s="4">
        <v>172.03100000000001</v>
      </c>
      <c r="K55" s="7">
        <v>606.34500000000003</v>
      </c>
      <c r="L55" s="13">
        <v>0.33600000000000002</v>
      </c>
      <c r="M55" s="4">
        <v>9</v>
      </c>
      <c r="N55" s="4">
        <v>11</v>
      </c>
      <c r="O55" s="4">
        <v>14</v>
      </c>
      <c r="P55" s="7">
        <v>14</v>
      </c>
    </row>
    <row r="56" spans="1:16" x14ac:dyDescent="0.3">
      <c r="A56" s="3">
        <v>45940</v>
      </c>
      <c r="B56" s="4" t="s">
        <v>18</v>
      </c>
      <c r="C56" s="5">
        <v>6000</v>
      </c>
      <c r="D56" s="4">
        <v>4294.0870000000004</v>
      </c>
      <c r="E56" s="31">
        <v>0.71599999999999997</v>
      </c>
      <c r="F56" s="4">
        <v>1705.913</v>
      </c>
      <c r="G56" s="6">
        <v>52</v>
      </c>
      <c r="H56" s="4">
        <v>2081.8620000000001</v>
      </c>
      <c r="I56" s="4">
        <v>1533.75</v>
      </c>
      <c r="J56" s="4">
        <v>292.42</v>
      </c>
      <c r="K56" s="7">
        <v>386.05500000000029</v>
      </c>
      <c r="L56" s="13">
        <v>0.09</v>
      </c>
      <c r="M56" s="4">
        <v>68</v>
      </c>
      <c r="N56" s="4">
        <v>52</v>
      </c>
      <c r="O56" s="4">
        <v>107</v>
      </c>
      <c r="P56" s="7">
        <v>13</v>
      </c>
    </row>
    <row r="57" spans="1:16" ht="15" thickBot="1" x14ac:dyDescent="0.35">
      <c r="A57" s="8">
        <v>45940</v>
      </c>
      <c r="B57" s="9" t="s">
        <v>19</v>
      </c>
      <c r="C57" s="10">
        <v>5000</v>
      </c>
      <c r="D57" s="9">
        <v>4662.3150000000014</v>
      </c>
      <c r="E57" s="32">
        <v>0.93200000000000005</v>
      </c>
      <c r="F57" s="12">
        <v>337.68499999999949</v>
      </c>
      <c r="G57" s="11">
        <v>7</v>
      </c>
      <c r="H57" s="9">
        <v>2496.5189999999998</v>
      </c>
      <c r="I57" s="9">
        <v>1636.8050000000001</v>
      </c>
      <c r="J57" s="9">
        <v>122.432</v>
      </c>
      <c r="K57" s="12">
        <v>406.5590000000002</v>
      </c>
      <c r="L57" s="14">
        <v>8.6999999999999994E-2</v>
      </c>
      <c r="M57" s="9">
        <v>54</v>
      </c>
      <c r="N57" s="9">
        <v>36</v>
      </c>
      <c r="O57" s="9">
        <v>116</v>
      </c>
      <c r="P57" s="12">
        <v>9</v>
      </c>
    </row>
    <row r="58" spans="1:16" x14ac:dyDescent="0.3">
      <c r="A58" s="3">
        <v>45943</v>
      </c>
      <c r="B58" s="4" t="s">
        <v>16</v>
      </c>
      <c r="C58" s="5">
        <v>1500</v>
      </c>
      <c r="D58" s="4">
        <v>45.691000000000003</v>
      </c>
      <c r="E58" s="31">
        <v>0.03</v>
      </c>
      <c r="F58" s="4">
        <v>1454.309</v>
      </c>
      <c r="G58" s="6">
        <v>26</v>
      </c>
      <c r="H58" s="4">
        <v>0</v>
      </c>
      <c r="I58" s="4">
        <v>0</v>
      </c>
      <c r="J58" s="4">
        <v>0</v>
      </c>
      <c r="K58" s="7">
        <v>45.691000000000003</v>
      </c>
      <c r="L58" s="13">
        <v>1</v>
      </c>
      <c r="M58" s="4">
        <v>0</v>
      </c>
      <c r="N58" s="4">
        <v>0</v>
      </c>
      <c r="O58" s="4">
        <v>0</v>
      </c>
      <c r="P58" s="7">
        <v>1</v>
      </c>
    </row>
    <row r="59" spans="1:16" x14ac:dyDescent="0.3">
      <c r="A59" s="3">
        <v>45943</v>
      </c>
      <c r="B59" s="4" t="s">
        <v>17</v>
      </c>
      <c r="C59" s="5">
        <v>7500</v>
      </c>
      <c r="D59" s="4">
        <v>1402.7249999999999</v>
      </c>
      <c r="E59" s="31">
        <v>0.187</v>
      </c>
      <c r="F59" s="4">
        <v>6097.2749999999996</v>
      </c>
      <c r="G59" s="6">
        <v>145</v>
      </c>
      <c r="H59" s="4">
        <v>0</v>
      </c>
      <c r="I59" s="4">
        <v>644.09699999999998</v>
      </c>
      <c r="J59" s="4">
        <v>172.03100000000001</v>
      </c>
      <c r="K59" s="7">
        <v>586.59699999999998</v>
      </c>
      <c r="L59" s="13">
        <v>0.41799999999999998</v>
      </c>
      <c r="M59" s="4">
        <v>0</v>
      </c>
      <c r="N59" s="4">
        <v>11</v>
      </c>
      <c r="O59" s="4">
        <v>32</v>
      </c>
      <c r="P59" s="7">
        <v>14</v>
      </c>
    </row>
    <row r="60" spans="1:16" x14ac:dyDescent="0.3">
      <c r="A60" s="3">
        <v>45943</v>
      </c>
      <c r="B60" s="4" t="s">
        <v>18</v>
      </c>
      <c r="C60" s="5">
        <v>6000</v>
      </c>
      <c r="D60" s="4">
        <v>4026.1120000000001</v>
      </c>
      <c r="E60" s="31">
        <v>0.67099999999999993</v>
      </c>
      <c r="F60" s="4">
        <v>1973.8879999999999</v>
      </c>
      <c r="G60" s="6">
        <v>60</v>
      </c>
      <c r="H60" s="4">
        <v>1537.498</v>
      </c>
      <c r="I60" s="4">
        <v>1916.3050000000001</v>
      </c>
      <c r="J60" s="4">
        <v>168.476</v>
      </c>
      <c r="K60" s="7">
        <v>403.83300000000003</v>
      </c>
      <c r="L60" s="13">
        <v>0.1</v>
      </c>
      <c r="M60" s="4">
        <v>50</v>
      </c>
      <c r="N60" s="4">
        <v>64</v>
      </c>
      <c r="O60" s="4">
        <v>97</v>
      </c>
      <c r="P60" s="7">
        <v>14</v>
      </c>
    </row>
    <row r="61" spans="1:16" ht="15" thickBot="1" x14ac:dyDescent="0.35">
      <c r="A61" s="8">
        <v>45943</v>
      </c>
      <c r="B61" s="9" t="s">
        <v>19</v>
      </c>
      <c r="C61" s="10">
        <v>5000</v>
      </c>
      <c r="D61" s="9">
        <v>4057.9789999999998</v>
      </c>
      <c r="E61" s="32">
        <v>0.81200000000000006</v>
      </c>
      <c r="F61" s="12">
        <v>942.02100000000019</v>
      </c>
      <c r="G61" s="11">
        <v>20</v>
      </c>
      <c r="H61" s="9">
        <v>1295.9169999999999</v>
      </c>
      <c r="I61" s="9">
        <v>2560.1419999999998</v>
      </c>
      <c r="J61" s="9">
        <v>268.86900000000003</v>
      </c>
      <c r="K61" s="12">
        <v>0</v>
      </c>
      <c r="L61" s="14">
        <v>0</v>
      </c>
      <c r="M61" s="9">
        <v>28</v>
      </c>
      <c r="N61" s="9">
        <v>56</v>
      </c>
      <c r="O61" s="9">
        <v>117</v>
      </c>
      <c r="P61" s="12">
        <v>0</v>
      </c>
    </row>
    <row r="62" spans="1:16" x14ac:dyDescent="0.3">
      <c r="A62" s="3">
        <v>45944</v>
      </c>
      <c r="B62" s="4" t="s">
        <v>16</v>
      </c>
      <c r="C62" s="5">
        <v>1500</v>
      </c>
      <c r="D62" s="4">
        <v>45.691000000000003</v>
      </c>
      <c r="E62" s="31">
        <v>0.03</v>
      </c>
      <c r="F62" s="4">
        <v>1454.309</v>
      </c>
      <c r="G62" s="6">
        <v>26</v>
      </c>
      <c r="H62" s="4">
        <v>0</v>
      </c>
      <c r="I62" s="4">
        <v>0</v>
      </c>
      <c r="J62" s="4">
        <v>0</v>
      </c>
      <c r="K62" s="7">
        <v>45.691000000000003</v>
      </c>
      <c r="L62" s="13">
        <v>1</v>
      </c>
      <c r="M62" s="4">
        <v>0</v>
      </c>
      <c r="N62" s="4">
        <v>0</v>
      </c>
      <c r="O62" s="4">
        <v>0</v>
      </c>
      <c r="P62" s="7">
        <v>1</v>
      </c>
    </row>
    <row r="63" spans="1:16" x14ac:dyDescent="0.3">
      <c r="A63" s="3">
        <v>45944</v>
      </c>
      <c r="B63" s="4" t="s">
        <v>17</v>
      </c>
      <c r="C63" s="5">
        <v>7500</v>
      </c>
      <c r="D63" s="4">
        <v>1498.125</v>
      </c>
      <c r="E63" s="31">
        <v>0.2</v>
      </c>
      <c r="F63" s="4">
        <v>6001.875</v>
      </c>
      <c r="G63" s="6">
        <v>143</v>
      </c>
      <c r="H63" s="4">
        <v>0</v>
      </c>
      <c r="I63" s="4">
        <v>644.09699999999998</v>
      </c>
      <c r="J63" s="4">
        <v>267.43099999999998</v>
      </c>
      <c r="K63" s="7">
        <v>586.59699999999998</v>
      </c>
      <c r="L63" s="13">
        <v>0.39200000000000002</v>
      </c>
      <c r="M63" s="4">
        <v>0</v>
      </c>
      <c r="N63" s="4">
        <v>11</v>
      </c>
      <c r="O63" s="4">
        <v>32</v>
      </c>
      <c r="P63" s="7">
        <v>14</v>
      </c>
    </row>
    <row r="64" spans="1:16" x14ac:dyDescent="0.3">
      <c r="A64" s="3">
        <v>45944</v>
      </c>
      <c r="B64" s="4" t="s">
        <v>18</v>
      </c>
      <c r="C64" s="5">
        <v>6000</v>
      </c>
      <c r="D64" s="4">
        <v>4094.578</v>
      </c>
      <c r="E64" s="31">
        <v>0.68200000000000005</v>
      </c>
      <c r="F64" s="4">
        <v>1905.422</v>
      </c>
      <c r="G64" s="6">
        <v>58</v>
      </c>
      <c r="H64" s="4">
        <v>1537.498</v>
      </c>
      <c r="I64" s="4">
        <v>1937.48</v>
      </c>
      <c r="J64" s="4">
        <v>171.25200000000001</v>
      </c>
      <c r="K64" s="7">
        <v>448.3479999999999</v>
      </c>
      <c r="L64" s="13">
        <v>0.109</v>
      </c>
      <c r="M64" s="4">
        <v>50</v>
      </c>
      <c r="N64" s="4">
        <v>65</v>
      </c>
      <c r="O64" s="4">
        <v>140</v>
      </c>
      <c r="P64" s="7">
        <v>15</v>
      </c>
    </row>
    <row r="65" spans="1:16" ht="15" thickBot="1" x14ac:dyDescent="0.35">
      <c r="A65" s="8">
        <v>45944</v>
      </c>
      <c r="B65" s="9" t="s">
        <v>19</v>
      </c>
      <c r="C65" s="10">
        <v>5000</v>
      </c>
      <c r="D65" s="9">
        <v>3963.7910000000002</v>
      </c>
      <c r="E65" s="32">
        <v>0.79299999999999993</v>
      </c>
      <c r="F65" s="12">
        <v>1036.2090000000001</v>
      </c>
      <c r="G65" s="11">
        <v>22</v>
      </c>
      <c r="H65" s="9">
        <v>692.11300000000006</v>
      </c>
      <c r="I65" s="9">
        <v>2743.2860000000001</v>
      </c>
      <c r="J65" s="9">
        <v>340.55999999999989</v>
      </c>
      <c r="K65" s="12">
        <v>187.83199999999991</v>
      </c>
      <c r="L65" s="14">
        <v>4.7E-2</v>
      </c>
      <c r="M65" s="9">
        <v>15</v>
      </c>
      <c r="N65" s="9">
        <v>60</v>
      </c>
      <c r="O65" s="9">
        <v>109</v>
      </c>
      <c r="P65" s="12">
        <v>4</v>
      </c>
    </row>
    <row r="66" spans="1:16" x14ac:dyDescent="0.3">
      <c r="A66" s="3">
        <v>45945</v>
      </c>
      <c r="B66" s="4" t="s">
        <v>16</v>
      </c>
      <c r="C66" s="5">
        <v>1500</v>
      </c>
      <c r="D66" s="4">
        <v>45.691000000000003</v>
      </c>
      <c r="E66" s="31">
        <v>0.03</v>
      </c>
      <c r="F66" s="4">
        <v>1454.309</v>
      </c>
      <c r="G66" s="6">
        <v>26</v>
      </c>
      <c r="H66" s="4">
        <v>0</v>
      </c>
      <c r="I66" s="4">
        <v>0</v>
      </c>
      <c r="J66" s="4">
        <v>0</v>
      </c>
      <c r="K66" s="7">
        <v>45.691000000000003</v>
      </c>
      <c r="L66" s="13">
        <v>1</v>
      </c>
      <c r="M66" s="4">
        <v>0</v>
      </c>
      <c r="N66" s="4">
        <v>0</v>
      </c>
      <c r="O66" s="4">
        <v>0</v>
      </c>
      <c r="P66" s="7">
        <v>1</v>
      </c>
    </row>
    <row r="67" spans="1:16" x14ac:dyDescent="0.3">
      <c r="A67" s="3">
        <v>45945</v>
      </c>
      <c r="B67" s="4" t="s">
        <v>17</v>
      </c>
      <c r="C67" s="5">
        <v>7500</v>
      </c>
      <c r="D67" s="4">
        <v>1850.5250000000001</v>
      </c>
      <c r="E67" s="31">
        <v>0.247</v>
      </c>
      <c r="F67" s="4">
        <v>5649.4750000000004</v>
      </c>
      <c r="G67" s="6">
        <v>135</v>
      </c>
      <c r="H67" s="4">
        <v>0</v>
      </c>
      <c r="I67" s="4">
        <v>735.32600000000002</v>
      </c>
      <c r="J67" s="4">
        <v>572.42600000000004</v>
      </c>
      <c r="K67" s="7">
        <v>542.77300000000002</v>
      </c>
      <c r="L67" s="13">
        <v>0.29299999999999998</v>
      </c>
      <c r="M67" s="4">
        <v>0</v>
      </c>
      <c r="N67" s="4">
        <v>12</v>
      </c>
      <c r="O67" s="4">
        <v>46</v>
      </c>
      <c r="P67" s="7">
        <v>13</v>
      </c>
    </row>
    <row r="68" spans="1:16" x14ac:dyDescent="0.3">
      <c r="A68" s="3">
        <v>45945</v>
      </c>
      <c r="B68" s="4" t="s">
        <v>18</v>
      </c>
      <c r="C68" s="5">
        <v>6000</v>
      </c>
      <c r="D68" s="4">
        <v>3882.9470000000001</v>
      </c>
      <c r="E68" s="31">
        <v>0.64700000000000002</v>
      </c>
      <c r="F68" s="4">
        <v>2117.0529999999999</v>
      </c>
      <c r="G68" s="6">
        <v>64</v>
      </c>
      <c r="H68" s="4">
        <v>720.76099999999997</v>
      </c>
      <c r="I68" s="4">
        <v>2275.4560000000001</v>
      </c>
      <c r="J68" s="4">
        <v>447.92099999999999</v>
      </c>
      <c r="K68" s="7">
        <v>438.80900000000003</v>
      </c>
      <c r="L68" s="13">
        <v>0.113</v>
      </c>
      <c r="M68" s="4">
        <v>24</v>
      </c>
      <c r="N68" s="4">
        <v>75</v>
      </c>
      <c r="O68" s="4">
        <v>122</v>
      </c>
      <c r="P68" s="7">
        <v>15</v>
      </c>
    </row>
    <row r="69" spans="1:16" ht="15" thickBot="1" x14ac:dyDescent="0.35">
      <c r="A69" s="8">
        <v>45945</v>
      </c>
      <c r="B69" s="9" t="s">
        <v>19</v>
      </c>
      <c r="C69" s="10">
        <v>5000</v>
      </c>
      <c r="D69" s="9">
        <v>4029.5169999999998</v>
      </c>
      <c r="E69" s="32">
        <v>0.80599999999999994</v>
      </c>
      <c r="F69" s="12">
        <v>970.48300000000017</v>
      </c>
      <c r="G69" s="11">
        <v>20</v>
      </c>
      <c r="H69" s="9">
        <v>3241.3820000000001</v>
      </c>
      <c r="I69" s="9">
        <v>550.00400000000002</v>
      </c>
      <c r="J69" s="9">
        <v>364.39699999999999</v>
      </c>
      <c r="K69" s="12">
        <v>0</v>
      </c>
      <c r="L69" s="14">
        <v>0</v>
      </c>
      <c r="M69" s="9">
        <v>71</v>
      </c>
      <c r="N69" s="9">
        <v>12</v>
      </c>
      <c r="O69" s="9">
        <v>91</v>
      </c>
      <c r="P69" s="12">
        <v>0</v>
      </c>
    </row>
    <row r="70" spans="1:16" x14ac:dyDescent="0.3">
      <c r="A70" s="3">
        <v>45946</v>
      </c>
      <c r="B70" s="4" t="s">
        <v>16</v>
      </c>
      <c r="C70" s="5">
        <v>1500</v>
      </c>
      <c r="D70" s="4">
        <v>45.691000000000003</v>
      </c>
      <c r="E70" s="31">
        <v>0.03</v>
      </c>
      <c r="F70" s="4">
        <v>1454.309</v>
      </c>
      <c r="G70" s="6">
        <v>26</v>
      </c>
      <c r="H70" s="4">
        <v>0</v>
      </c>
      <c r="I70" s="4">
        <v>0</v>
      </c>
      <c r="J70" s="4">
        <v>0</v>
      </c>
      <c r="K70" s="7">
        <v>45.691000000000003</v>
      </c>
      <c r="L70" s="13">
        <v>1</v>
      </c>
      <c r="M70" s="4">
        <v>0</v>
      </c>
      <c r="N70" s="4">
        <v>0</v>
      </c>
      <c r="O70" s="4">
        <v>0</v>
      </c>
      <c r="P70" s="7">
        <v>1</v>
      </c>
    </row>
    <row r="71" spans="1:16" x14ac:dyDescent="0.3">
      <c r="A71" s="3">
        <v>45946</v>
      </c>
      <c r="B71" s="4" t="s">
        <v>17</v>
      </c>
      <c r="C71" s="5">
        <v>7500</v>
      </c>
      <c r="D71" s="4">
        <v>1942.662</v>
      </c>
      <c r="E71" s="31">
        <v>0.25900000000000001</v>
      </c>
      <c r="F71" s="4">
        <v>5557.3379999999997</v>
      </c>
      <c r="G71" s="6">
        <v>132</v>
      </c>
      <c r="H71" s="4">
        <v>254.17</v>
      </c>
      <c r="I71" s="4">
        <v>612.33100000000002</v>
      </c>
      <c r="J71" s="4">
        <v>530.32899999999995</v>
      </c>
      <c r="K71" s="7">
        <v>545.83199999999999</v>
      </c>
      <c r="L71" s="13">
        <v>0.28100000000000003</v>
      </c>
      <c r="M71" s="4">
        <v>3</v>
      </c>
      <c r="N71" s="4">
        <v>12</v>
      </c>
      <c r="O71" s="4">
        <v>53</v>
      </c>
      <c r="P71" s="7">
        <v>13</v>
      </c>
    </row>
    <row r="72" spans="1:16" x14ac:dyDescent="0.3">
      <c r="A72" s="3">
        <v>45946</v>
      </c>
      <c r="B72" s="4" t="s">
        <v>18</v>
      </c>
      <c r="C72" s="5">
        <v>6000</v>
      </c>
      <c r="D72" s="4">
        <v>3491.886</v>
      </c>
      <c r="E72" s="31">
        <v>0.58199999999999996</v>
      </c>
      <c r="F72" s="4">
        <v>2508.114</v>
      </c>
      <c r="G72" s="6">
        <v>76</v>
      </c>
      <c r="H72" s="4">
        <v>200.78200000000001</v>
      </c>
      <c r="I72" s="4">
        <v>2339.0430000000001</v>
      </c>
      <c r="J72" s="4">
        <v>477.654</v>
      </c>
      <c r="K72" s="7">
        <v>474.40699999999998</v>
      </c>
      <c r="L72" s="13">
        <v>0.13600000000000001</v>
      </c>
      <c r="M72" s="4">
        <v>7</v>
      </c>
      <c r="N72" s="4">
        <v>76</v>
      </c>
      <c r="O72" s="4">
        <v>126</v>
      </c>
      <c r="P72" s="7">
        <v>16</v>
      </c>
    </row>
    <row r="73" spans="1:16" ht="15" thickBot="1" x14ac:dyDescent="0.35">
      <c r="A73" s="8">
        <v>45946</v>
      </c>
      <c r="B73" s="9" t="s">
        <v>19</v>
      </c>
      <c r="C73" s="10">
        <v>5000</v>
      </c>
      <c r="D73" s="9">
        <v>4781.9409999999998</v>
      </c>
      <c r="E73" s="32">
        <v>0.95599999999999996</v>
      </c>
      <c r="F73" s="12">
        <v>218.059</v>
      </c>
      <c r="G73" s="11">
        <v>5</v>
      </c>
      <c r="H73" s="9">
        <v>3333.9580000000001</v>
      </c>
      <c r="I73" s="9">
        <v>899.26</v>
      </c>
      <c r="J73" s="9">
        <v>456.44400000000002</v>
      </c>
      <c r="K73" s="12">
        <v>92.278999999999996</v>
      </c>
      <c r="L73" s="14">
        <v>1.9E-2</v>
      </c>
      <c r="M73" s="9">
        <v>73</v>
      </c>
      <c r="N73" s="9">
        <v>19</v>
      </c>
      <c r="O73" s="9">
        <v>87</v>
      </c>
      <c r="P73" s="12">
        <v>2</v>
      </c>
    </row>
    <row r="74" spans="1:16" x14ac:dyDescent="0.3">
      <c r="A74" s="3">
        <v>45947</v>
      </c>
      <c r="B74" s="4" t="s">
        <v>16</v>
      </c>
      <c r="C74" s="5">
        <v>1500</v>
      </c>
      <c r="D74" s="4">
        <v>45.691000000000003</v>
      </c>
      <c r="E74" s="31">
        <v>0.03</v>
      </c>
      <c r="F74" s="4">
        <v>1454.309</v>
      </c>
      <c r="G74" s="6">
        <v>26</v>
      </c>
      <c r="H74" s="4">
        <v>0</v>
      </c>
      <c r="I74" s="4">
        <v>0</v>
      </c>
      <c r="J74" s="4">
        <v>0</v>
      </c>
      <c r="K74" s="7">
        <v>45.691000000000003</v>
      </c>
      <c r="L74" s="13">
        <v>1</v>
      </c>
      <c r="M74" s="4">
        <v>0</v>
      </c>
      <c r="N74" s="4">
        <v>0</v>
      </c>
      <c r="O74" s="4">
        <v>0</v>
      </c>
      <c r="P74" s="7">
        <v>1</v>
      </c>
    </row>
    <row r="75" spans="1:16" x14ac:dyDescent="0.3">
      <c r="A75" s="3">
        <v>45947</v>
      </c>
      <c r="B75" s="4" t="s">
        <v>17</v>
      </c>
      <c r="C75" s="5">
        <v>7500</v>
      </c>
      <c r="D75" s="4">
        <v>1802.623</v>
      </c>
      <c r="E75" s="31">
        <v>0.24</v>
      </c>
      <c r="F75" s="4">
        <v>5697.3770000000004</v>
      </c>
      <c r="G75" s="6">
        <v>136</v>
      </c>
      <c r="H75" s="4">
        <v>254.17</v>
      </c>
      <c r="I75" s="4">
        <v>612.33100000000002</v>
      </c>
      <c r="J75" s="4">
        <v>530.32899999999995</v>
      </c>
      <c r="K75" s="7">
        <v>405.79300000000001</v>
      </c>
      <c r="L75" s="13">
        <v>0.22500000000000001</v>
      </c>
      <c r="M75" s="4">
        <v>3</v>
      </c>
      <c r="N75" s="4">
        <v>12</v>
      </c>
      <c r="O75" s="4">
        <v>53</v>
      </c>
      <c r="P75" s="7">
        <v>10</v>
      </c>
    </row>
    <row r="76" spans="1:16" x14ac:dyDescent="0.3">
      <c r="A76" s="3">
        <v>45947</v>
      </c>
      <c r="B76" s="4" t="s">
        <v>18</v>
      </c>
      <c r="C76" s="5">
        <v>6000</v>
      </c>
      <c r="D76" s="4">
        <v>4064.4769999999999</v>
      </c>
      <c r="E76" s="31">
        <v>0.67700000000000005</v>
      </c>
      <c r="F76" s="4">
        <v>1935.5229999999999</v>
      </c>
      <c r="G76" s="6">
        <v>59</v>
      </c>
      <c r="H76" s="4">
        <v>506.06700000000001</v>
      </c>
      <c r="I76" s="4">
        <v>2357.4679999999998</v>
      </c>
      <c r="J76" s="4">
        <v>475.28199999999998</v>
      </c>
      <c r="K76" s="7">
        <v>725.66000000000008</v>
      </c>
      <c r="L76" s="13">
        <v>0.17899999999999999</v>
      </c>
      <c r="M76" s="4">
        <v>17</v>
      </c>
      <c r="N76" s="4">
        <v>77</v>
      </c>
      <c r="O76" s="4">
        <v>114</v>
      </c>
      <c r="P76" s="7">
        <v>25</v>
      </c>
    </row>
    <row r="77" spans="1:16" ht="15" thickBot="1" x14ac:dyDescent="0.35">
      <c r="A77" s="8">
        <v>45947</v>
      </c>
      <c r="B77" s="9" t="s">
        <v>19</v>
      </c>
      <c r="C77" s="10">
        <v>5000</v>
      </c>
      <c r="D77" s="9">
        <v>4632.7240000000002</v>
      </c>
      <c r="E77" s="32">
        <v>0.92700000000000005</v>
      </c>
      <c r="F77" s="12">
        <v>367.27599999999978</v>
      </c>
      <c r="G77" s="11">
        <v>8</v>
      </c>
      <c r="H77" s="9">
        <v>2874.4369999999999</v>
      </c>
      <c r="I77" s="9">
        <f>D77-F77-H77-J77</f>
        <v>890.1800000000004</v>
      </c>
      <c r="J77" s="9">
        <v>500.83100000000002</v>
      </c>
      <c r="K77" s="12">
        <v>0</v>
      </c>
      <c r="L77" s="14">
        <v>0</v>
      </c>
      <c r="M77" s="9">
        <v>63</v>
      </c>
      <c r="N77" s="9">
        <v>32</v>
      </c>
      <c r="O77" s="9">
        <v>78</v>
      </c>
      <c r="P77" s="12">
        <v>0</v>
      </c>
    </row>
    <row r="78" spans="1:16" x14ac:dyDescent="0.3">
      <c r="A78" s="3">
        <v>45950</v>
      </c>
      <c r="B78" s="4" t="s">
        <v>16</v>
      </c>
      <c r="C78" s="5">
        <v>1500</v>
      </c>
      <c r="D78" s="4">
        <v>39.905000000000001</v>
      </c>
      <c r="E78" s="31">
        <v>2.7000000000000003E-2</v>
      </c>
      <c r="F78" s="4">
        <v>1460.095</v>
      </c>
      <c r="G78" s="6">
        <v>27</v>
      </c>
      <c r="H78" s="4">
        <v>0</v>
      </c>
      <c r="I78" s="4">
        <v>0</v>
      </c>
      <c r="J78" s="4">
        <v>0</v>
      </c>
      <c r="K78" s="7">
        <v>39.905000000000001</v>
      </c>
      <c r="L78" s="13">
        <v>1</v>
      </c>
      <c r="M78" s="4">
        <v>0</v>
      </c>
      <c r="N78" s="4">
        <v>0</v>
      </c>
      <c r="O78" s="4">
        <v>0</v>
      </c>
      <c r="P78" s="7">
        <v>1</v>
      </c>
    </row>
    <row r="79" spans="1:16" x14ac:dyDescent="0.3">
      <c r="A79" s="3">
        <v>45950</v>
      </c>
      <c r="B79" s="4" t="s">
        <v>17</v>
      </c>
      <c r="C79" s="5">
        <v>7500</v>
      </c>
      <c r="D79" s="4">
        <v>1958.348</v>
      </c>
      <c r="E79" s="31">
        <v>0.26100000000000001</v>
      </c>
      <c r="F79" s="4">
        <v>5541.652</v>
      </c>
      <c r="G79" s="6">
        <v>132</v>
      </c>
      <c r="H79" s="4">
        <v>812.35100000000011</v>
      </c>
      <c r="I79" s="4">
        <v>0</v>
      </c>
      <c r="J79" s="4">
        <v>514.375</v>
      </c>
      <c r="K79" s="7">
        <v>631.62199999999984</v>
      </c>
      <c r="L79" s="13">
        <v>0.32299999999999995</v>
      </c>
      <c r="M79" s="4">
        <v>17</v>
      </c>
      <c r="N79" s="4">
        <v>0</v>
      </c>
      <c r="O79" s="4">
        <v>49</v>
      </c>
      <c r="P79" s="7">
        <v>15</v>
      </c>
    </row>
    <row r="80" spans="1:16" x14ac:dyDescent="0.3">
      <c r="A80" s="3">
        <v>45950</v>
      </c>
      <c r="B80" s="4" t="s">
        <v>18</v>
      </c>
      <c r="C80" s="5">
        <v>6000</v>
      </c>
      <c r="D80" s="4">
        <v>4269.8509999999997</v>
      </c>
      <c r="E80" s="31">
        <v>0.71200000000000008</v>
      </c>
      <c r="F80" s="4">
        <v>1730.1489999999999</v>
      </c>
      <c r="G80" s="6">
        <v>52</v>
      </c>
      <c r="H80" s="4">
        <v>2027.1220000000001</v>
      </c>
      <c r="I80" s="4">
        <v>1262.951</v>
      </c>
      <c r="J80" s="4">
        <v>359.20800000000003</v>
      </c>
      <c r="K80" s="7">
        <v>620.56999999999937</v>
      </c>
      <c r="L80" s="13">
        <v>0.14499999999999999</v>
      </c>
      <c r="M80" s="4">
        <v>67</v>
      </c>
      <c r="N80" s="4">
        <v>41</v>
      </c>
      <c r="O80" s="4">
        <v>103</v>
      </c>
      <c r="P80" s="7">
        <v>21</v>
      </c>
    </row>
    <row r="81" spans="1:16" ht="15" thickBot="1" x14ac:dyDescent="0.35">
      <c r="A81" s="8">
        <v>45950</v>
      </c>
      <c r="B81" s="9" t="s">
        <v>19</v>
      </c>
      <c r="C81" s="10">
        <v>5000</v>
      </c>
      <c r="D81" s="9">
        <v>4152.6840000000002</v>
      </c>
      <c r="E81" s="32">
        <v>0.83099999999999996</v>
      </c>
      <c r="F81" s="12">
        <v>847.3159999999998</v>
      </c>
      <c r="G81" s="11">
        <v>18</v>
      </c>
      <c r="H81" s="9">
        <v>2510.5639999999999</v>
      </c>
      <c r="I81" s="9">
        <f>D81-H81-J81</f>
        <v>1015.4320000000004</v>
      </c>
      <c r="J81" s="9">
        <v>626.68799999999999</v>
      </c>
      <c r="K81" s="12">
        <v>0</v>
      </c>
      <c r="L81" s="14">
        <v>0</v>
      </c>
      <c r="M81" s="9">
        <v>55</v>
      </c>
      <c r="N81" s="9">
        <v>77</v>
      </c>
      <c r="O81" s="9">
        <v>79</v>
      </c>
      <c r="P81" s="12">
        <v>0</v>
      </c>
    </row>
    <row r="82" spans="1:16" x14ac:dyDescent="0.3">
      <c r="A82" s="3">
        <v>45951</v>
      </c>
      <c r="B82" s="4" t="s">
        <v>16</v>
      </c>
      <c r="C82" s="28">
        <v>1500</v>
      </c>
      <c r="D82" s="4">
        <v>39.905000000000001</v>
      </c>
      <c r="E82" s="31">
        <v>2.7E-2</v>
      </c>
      <c r="F82" s="45">
        <v>1460.095</v>
      </c>
      <c r="G82" s="6">
        <v>27</v>
      </c>
      <c r="H82" s="4">
        <v>0</v>
      </c>
      <c r="I82" s="4">
        <v>0</v>
      </c>
      <c r="J82" s="4">
        <v>0</v>
      </c>
      <c r="K82" s="7">
        <v>39.905000000000001</v>
      </c>
      <c r="L82" s="13">
        <v>1</v>
      </c>
      <c r="M82" s="4">
        <v>0</v>
      </c>
      <c r="N82" s="4">
        <v>0</v>
      </c>
      <c r="O82" s="4">
        <v>0</v>
      </c>
      <c r="P82" s="7">
        <v>1</v>
      </c>
    </row>
    <row r="83" spans="1:16" x14ac:dyDescent="0.3">
      <c r="A83" s="3">
        <v>45951</v>
      </c>
      <c r="B83" s="4" t="s">
        <v>17</v>
      </c>
      <c r="C83" s="28">
        <v>7500</v>
      </c>
      <c r="D83" s="45">
        <v>1917.42</v>
      </c>
      <c r="E83" s="31">
        <v>0.25600000000000001</v>
      </c>
      <c r="F83" s="45">
        <v>5582.58</v>
      </c>
      <c r="G83" s="6">
        <v>133</v>
      </c>
      <c r="H83" s="4">
        <v>654.89499999999998</v>
      </c>
      <c r="I83" s="4">
        <v>582.23699999999997</v>
      </c>
      <c r="J83" s="4">
        <v>462.423</v>
      </c>
      <c r="K83" s="7">
        <v>217.86500000000001</v>
      </c>
      <c r="L83" s="13">
        <v>0.114</v>
      </c>
      <c r="M83" s="4">
        <v>15</v>
      </c>
      <c r="N83" s="4">
        <v>11</v>
      </c>
      <c r="O83" s="4">
        <v>44</v>
      </c>
      <c r="P83" s="7">
        <v>5</v>
      </c>
    </row>
    <row r="84" spans="1:16" x14ac:dyDescent="0.3">
      <c r="A84" s="3">
        <v>45951</v>
      </c>
      <c r="B84" s="4" t="s">
        <v>18</v>
      </c>
      <c r="C84" s="28">
        <v>6000</v>
      </c>
      <c r="D84" s="45">
        <v>4364.4579999999996</v>
      </c>
      <c r="E84" s="31">
        <v>0.72699999999999998</v>
      </c>
      <c r="F84" s="45">
        <v>1635.5419999999999</v>
      </c>
      <c r="G84" s="6">
        <v>50</v>
      </c>
      <c r="H84" s="45">
        <v>1126.7819999999999</v>
      </c>
      <c r="I84" s="45">
        <v>2537.0729999999999</v>
      </c>
      <c r="J84" s="4">
        <v>395.28899999999999</v>
      </c>
      <c r="K84" s="7">
        <v>305.31400000000002</v>
      </c>
      <c r="L84" s="13">
        <v>7.0000000000000007E-2</v>
      </c>
      <c r="M84" s="4">
        <v>38</v>
      </c>
      <c r="N84" s="4">
        <v>81</v>
      </c>
      <c r="O84" s="4">
        <v>67</v>
      </c>
      <c r="P84" s="7">
        <v>11</v>
      </c>
    </row>
    <row r="85" spans="1:16" ht="15" thickBot="1" x14ac:dyDescent="0.35">
      <c r="A85" s="8">
        <v>45951</v>
      </c>
      <c r="B85" s="9" t="s">
        <v>19</v>
      </c>
      <c r="C85" s="29">
        <v>5000</v>
      </c>
      <c r="D85" s="46">
        <v>3827.51</v>
      </c>
      <c r="E85" s="32">
        <v>0.76600000000000001</v>
      </c>
      <c r="F85" s="47">
        <v>1172.49</v>
      </c>
      <c r="G85" s="11">
        <v>24</v>
      </c>
      <c r="H85" s="46">
        <v>2842.0610000000001</v>
      </c>
      <c r="I85" s="9">
        <v>756.14599999999996</v>
      </c>
      <c r="J85" s="9">
        <v>265.88299999999998</v>
      </c>
      <c r="K85" s="12">
        <v>0</v>
      </c>
      <c r="L85" s="14">
        <v>0</v>
      </c>
      <c r="M85" s="9">
        <v>61</v>
      </c>
      <c r="N85" s="9">
        <v>16</v>
      </c>
      <c r="O85" s="9">
        <v>57</v>
      </c>
      <c r="P85" s="12">
        <v>0</v>
      </c>
    </row>
    <row r="86" spans="1:16" x14ac:dyDescent="0.3">
      <c r="A86" s="3">
        <v>45952</v>
      </c>
      <c r="B86" s="4" t="s">
        <v>16</v>
      </c>
      <c r="C86" s="5">
        <v>1500</v>
      </c>
      <c r="D86" s="4">
        <v>39.905000000000001</v>
      </c>
      <c r="E86" s="31">
        <v>2.7000000000000003E-2</v>
      </c>
      <c r="F86" s="4">
        <v>1460.095</v>
      </c>
      <c r="G86" s="6">
        <v>27</v>
      </c>
      <c r="H86" s="4">
        <v>0</v>
      </c>
      <c r="I86" s="4">
        <v>0</v>
      </c>
      <c r="J86" s="4">
        <v>0</v>
      </c>
      <c r="K86" s="7">
        <v>39.905000000000001</v>
      </c>
      <c r="L86" s="13">
        <v>1</v>
      </c>
      <c r="M86" s="4">
        <v>0</v>
      </c>
      <c r="N86" s="4">
        <v>0</v>
      </c>
      <c r="O86" s="4">
        <v>0</v>
      </c>
      <c r="P86" s="7">
        <v>1</v>
      </c>
    </row>
    <row r="87" spans="1:16" x14ac:dyDescent="0.3">
      <c r="A87" s="3">
        <v>45952</v>
      </c>
      <c r="B87" s="4" t="s">
        <v>17</v>
      </c>
      <c r="C87" s="5">
        <v>7500</v>
      </c>
      <c r="D87" s="4">
        <v>2171.971</v>
      </c>
      <c r="E87" s="31">
        <v>0.28999999999999998</v>
      </c>
      <c r="F87" s="4">
        <v>5328.0290000000005</v>
      </c>
      <c r="G87" s="6">
        <v>127</v>
      </c>
      <c r="H87" s="4">
        <v>533.005</v>
      </c>
      <c r="I87" s="4">
        <v>1086.3009999999999</v>
      </c>
      <c r="J87" s="4">
        <v>354.43599999999998</v>
      </c>
      <c r="K87" s="7">
        <v>198.2289999999999</v>
      </c>
      <c r="L87" s="13">
        <v>9.0999999999999998E-2</v>
      </c>
      <c r="M87" s="4">
        <v>12</v>
      </c>
      <c r="N87" s="4">
        <v>23</v>
      </c>
      <c r="O87" s="4">
        <v>30</v>
      </c>
      <c r="P87" s="7">
        <v>5</v>
      </c>
    </row>
    <row r="88" spans="1:16" x14ac:dyDescent="0.3">
      <c r="A88" s="3">
        <v>45952</v>
      </c>
      <c r="B88" s="4" t="s">
        <v>18</v>
      </c>
      <c r="C88" s="5">
        <v>6000</v>
      </c>
      <c r="D88" s="4">
        <v>3902.1329999999998</v>
      </c>
      <c r="E88" s="31">
        <v>0.65</v>
      </c>
      <c r="F88" s="4">
        <v>2097.8670000000002</v>
      </c>
      <c r="G88" s="6">
        <v>64</v>
      </c>
      <c r="H88" s="4">
        <v>425.52699999999999</v>
      </c>
      <c r="I88" s="4">
        <v>2324.277</v>
      </c>
      <c r="J88" s="4">
        <v>357.15699999999998</v>
      </c>
      <c r="K88" s="7">
        <v>795.1719999999998</v>
      </c>
      <c r="L88" s="13">
        <v>0.20399999999999999</v>
      </c>
      <c r="M88" s="4">
        <v>14</v>
      </c>
      <c r="N88" s="4">
        <v>75</v>
      </c>
      <c r="O88" s="4">
        <v>82</v>
      </c>
      <c r="P88" s="7">
        <v>27</v>
      </c>
    </row>
    <row r="89" spans="1:16" ht="15" thickBot="1" x14ac:dyDescent="0.35">
      <c r="A89" s="8">
        <v>45952</v>
      </c>
      <c r="B89" s="9" t="s">
        <v>19</v>
      </c>
      <c r="C89" s="10">
        <v>5000</v>
      </c>
      <c r="D89" s="9">
        <v>3968.5859999999998</v>
      </c>
      <c r="E89" s="32">
        <v>0.79400000000000004</v>
      </c>
      <c r="F89" s="12">
        <v>1031.414</v>
      </c>
      <c r="G89" s="11">
        <v>21</v>
      </c>
      <c r="H89" s="9">
        <v>2522.5680000000002</v>
      </c>
      <c r="I89" s="9">
        <v>943.38599999999997</v>
      </c>
      <c r="J89" s="9">
        <v>324.24200000000002</v>
      </c>
      <c r="K89" s="12">
        <v>178.38999999999959</v>
      </c>
      <c r="L89" s="14">
        <v>4.4999999999999998E-2</v>
      </c>
      <c r="M89" s="9">
        <v>54</v>
      </c>
      <c r="N89" s="9">
        <v>20</v>
      </c>
      <c r="O89" s="9">
        <v>57</v>
      </c>
      <c r="P89" s="12">
        <v>4</v>
      </c>
    </row>
    <row r="90" spans="1:16" x14ac:dyDescent="0.3">
      <c r="A90" s="3">
        <v>45953</v>
      </c>
      <c r="B90" s="4" t="s">
        <v>16</v>
      </c>
      <c r="C90" s="5">
        <v>1500</v>
      </c>
      <c r="D90" s="4">
        <v>39.905000000000001</v>
      </c>
      <c r="E90" s="31">
        <v>2.7000000000000003E-2</v>
      </c>
      <c r="F90" s="4">
        <v>1460.095</v>
      </c>
      <c r="G90" s="6">
        <v>27</v>
      </c>
      <c r="H90" s="4">
        <v>0</v>
      </c>
      <c r="I90" s="4">
        <v>0</v>
      </c>
      <c r="J90" s="4">
        <v>0</v>
      </c>
      <c r="K90" s="7">
        <v>39.905000000000001</v>
      </c>
      <c r="L90" s="13">
        <v>1</v>
      </c>
      <c r="M90" s="4">
        <v>0</v>
      </c>
      <c r="N90" s="4">
        <v>0</v>
      </c>
      <c r="O90" s="4">
        <v>0</v>
      </c>
      <c r="P90" s="7">
        <v>1</v>
      </c>
    </row>
    <row r="91" spans="1:16" x14ac:dyDescent="0.3">
      <c r="A91" s="3">
        <v>45953</v>
      </c>
      <c r="B91" s="4" t="s">
        <v>17</v>
      </c>
      <c r="C91" s="5">
        <v>7500</v>
      </c>
      <c r="D91" s="4">
        <v>2584.364</v>
      </c>
      <c r="E91" s="31">
        <v>0.34499999999999997</v>
      </c>
      <c r="F91" s="4">
        <v>4915.6360000000004</v>
      </c>
      <c r="G91" s="6">
        <v>117</v>
      </c>
      <c r="H91" s="4">
        <v>533.005</v>
      </c>
      <c r="I91" s="4">
        <v>1098.6559999999999</v>
      </c>
      <c r="J91" s="4">
        <v>537.88</v>
      </c>
      <c r="K91" s="7">
        <v>414.82299999999998</v>
      </c>
      <c r="L91" s="13">
        <v>0.161</v>
      </c>
      <c r="M91" s="4">
        <v>12</v>
      </c>
      <c r="N91" s="4">
        <v>23</v>
      </c>
      <c r="O91" s="4">
        <v>30</v>
      </c>
      <c r="P91" s="7">
        <v>10</v>
      </c>
    </row>
    <row r="92" spans="1:16" x14ac:dyDescent="0.3">
      <c r="A92" s="3">
        <v>45953</v>
      </c>
      <c r="B92" s="4" t="s">
        <v>18</v>
      </c>
      <c r="C92" s="5">
        <v>6000</v>
      </c>
      <c r="D92" s="4">
        <v>3972.8589999999999</v>
      </c>
      <c r="E92" s="31">
        <v>0.66200000000000003</v>
      </c>
      <c r="F92" s="4">
        <v>2027.1410000000001</v>
      </c>
      <c r="G92" s="6">
        <v>61</v>
      </c>
      <c r="H92" s="4">
        <v>603.13900000000001</v>
      </c>
      <c r="I92" s="4">
        <v>2579.268</v>
      </c>
      <c r="J92" s="4">
        <v>460.04</v>
      </c>
      <c r="K92" s="7">
        <v>330.41199999999981</v>
      </c>
      <c r="L92" s="13">
        <v>8.3000000000000004E-2</v>
      </c>
      <c r="M92" s="4">
        <v>20</v>
      </c>
      <c r="N92" s="4">
        <v>81</v>
      </c>
      <c r="O92" s="4">
        <v>85</v>
      </c>
      <c r="P92" s="7">
        <v>11</v>
      </c>
    </row>
    <row r="93" spans="1:16" ht="15" thickBot="1" x14ac:dyDescent="0.35">
      <c r="A93" s="8">
        <v>45953</v>
      </c>
      <c r="B93" s="9" t="s">
        <v>19</v>
      </c>
      <c r="C93" s="10">
        <v>5000</v>
      </c>
      <c r="D93" s="9">
        <v>4124.4170000000004</v>
      </c>
      <c r="E93" s="32">
        <v>0.82499999999999996</v>
      </c>
      <c r="F93" s="12">
        <v>875.58299999999963</v>
      </c>
      <c r="G93" s="11">
        <v>18</v>
      </c>
      <c r="H93" s="9">
        <v>2525.4609999999998</v>
      </c>
      <c r="I93" s="9">
        <v>1081.259</v>
      </c>
      <c r="J93" s="9">
        <v>373.51499999999999</v>
      </c>
      <c r="K93" s="12">
        <v>144.1820000000001</v>
      </c>
      <c r="L93" s="14">
        <v>3.5000000000000003E-2</v>
      </c>
      <c r="M93" s="9">
        <v>54</v>
      </c>
      <c r="N93" s="9">
        <v>23</v>
      </c>
      <c r="O93" s="9">
        <v>54</v>
      </c>
      <c r="P93" s="12">
        <v>3</v>
      </c>
    </row>
    <row r="94" spans="1:16" x14ac:dyDescent="0.3">
      <c r="A94" s="3">
        <v>45954</v>
      </c>
      <c r="B94" s="4" t="s">
        <v>16</v>
      </c>
      <c r="C94" s="5">
        <v>1500</v>
      </c>
      <c r="D94" s="4">
        <v>39.905000000000001</v>
      </c>
      <c r="E94" s="31">
        <v>2.7000000000000003E-2</v>
      </c>
      <c r="F94" s="4">
        <v>1460.095</v>
      </c>
      <c r="G94" s="6">
        <v>27</v>
      </c>
      <c r="H94" s="48">
        <v>0</v>
      </c>
      <c r="I94" s="48">
        <v>0</v>
      </c>
      <c r="J94" s="48">
        <v>0</v>
      </c>
      <c r="K94" s="7">
        <v>39.905000000000001</v>
      </c>
      <c r="L94" s="13">
        <v>1</v>
      </c>
      <c r="M94" s="4">
        <v>0</v>
      </c>
      <c r="N94" s="4">
        <v>0</v>
      </c>
      <c r="O94" s="4">
        <v>0</v>
      </c>
      <c r="P94" s="7">
        <v>1</v>
      </c>
    </row>
    <row r="95" spans="1:16" x14ac:dyDescent="0.3">
      <c r="A95" s="3">
        <v>45954</v>
      </c>
      <c r="B95" s="4" t="s">
        <v>17</v>
      </c>
      <c r="C95" s="5">
        <v>7500</v>
      </c>
      <c r="D95" s="4">
        <v>2185.6799999999998</v>
      </c>
      <c r="E95" s="31">
        <v>0.29100000000000004</v>
      </c>
      <c r="F95" s="4">
        <v>5314.32</v>
      </c>
      <c r="G95" s="6">
        <v>127</v>
      </c>
      <c r="H95" s="4">
        <v>410.59699999999998</v>
      </c>
      <c r="I95" s="4">
        <v>703.34699999999998</v>
      </c>
      <c r="J95" s="4">
        <v>585.779</v>
      </c>
      <c r="K95" s="7">
        <v>485.95699999999988</v>
      </c>
      <c r="L95" s="13">
        <v>0.222</v>
      </c>
      <c r="M95" s="4">
        <v>9</v>
      </c>
      <c r="N95" s="4">
        <v>14</v>
      </c>
      <c r="O95" s="4">
        <v>25</v>
      </c>
      <c r="P95" s="7">
        <v>12</v>
      </c>
    </row>
    <row r="96" spans="1:16" x14ac:dyDescent="0.3">
      <c r="A96" s="3">
        <v>45954</v>
      </c>
      <c r="B96" s="4" t="s">
        <v>18</v>
      </c>
      <c r="C96" s="5">
        <v>6000</v>
      </c>
      <c r="D96" s="4">
        <v>3807.6419999999998</v>
      </c>
      <c r="E96" s="31">
        <v>0.63500000000000001</v>
      </c>
      <c r="F96" s="4">
        <v>2192.3580000000002</v>
      </c>
      <c r="G96" s="6">
        <v>66</v>
      </c>
      <c r="H96" s="4">
        <v>1804.614</v>
      </c>
      <c r="I96" s="4">
        <v>1321.9639999999999</v>
      </c>
      <c r="J96" s="4">
        <v>371.88099999999997</v>
      </c>
      <c r="K96" s="7">
        <v>309.18299999999988</v>
      </c>
      <c r="L96" s="13">
        <v>8.1000000000000003E-2</v>
      </c>
      <c r="M96" s="4">
        <v>58</v>
      </c>
      <c r="N96" s="4">
        <v>40</v>
      </c>
      <c r="O96" s="4">
        <v>67</v>
      </c>
      <c r="P96" s="7">
        <v>11</v>
      </c>
    </row>
    <row r="97" spans="1:16" ht="15" thickBot="1" x14ac:dyDescent="0.35">
      <c r="A97" s="8">
        <v>45954</v>
      </c>
      <c r="B97" s="9" t="s">
        <v>19</v>
      </c>
      <c r="C97" s="10">
        <v>5000</v>
      </c>
      <c r="D97" s="9">
        <v>3947.0120000000002</v>
      </c>
      <c r="E97" s="32">
        <v>0.78900000000000003</v>
      </c>
      <c r="F97" s="12">
        <v>1052.9880000000001</v>
      </c>
      <c r="G97" s="11">
        <v>22</v>
      </c>
      <c r="H97" s="9">
        <v>1760.038</v>
      </c>
      <c r="I97" s="9">
        <v>1500.798</v>
      </c>
      <c r="J97" s="9">
        <v>472.00200000000001</v>
      </c>
      <c r="K97" s="12">
        <v>214.17400000000001</v>
      </c>
      <c r="L97" s="14">
        <v>5.4000000000000006E-2</v>
      </c>
      <c r="M97" s="9">
        <v>38</v>
      </c>
      <c r="N97" s="9">
        <v>32</v>
      </c>
      <c r="O97" s="9">
        <v>110</v>
      </c>
      <c r="P97" s="12">
        <v>5</v>
      </c>
    </row>
    <row r="98" spans="1:16" x14ac:dyDescent="0.3">
      <c r="A98" s="3">
        <v>45957</v>
      </c>
      <c r="B98" s="4" t="s">
        <v>16</v>
      </c>
      <c r="C98" s="5">
        <v>1500</v>
      </c>
      <c r="D98" s="4">
        <v>39.905000000000001</v>
      </c>
      <c r="E98" s="31">
        <v>2.7E-2</v>
      </c>
      <c r="F98" s="45">
        <v>1460.095</v>
      </c>
      <c r="G98" s="6">
        <v>27</v>
      </c>
      <c r="H98" s="48">
        <v>0</v>
      </c>
      <c r="I98" s="48">
        <v>0</v>
      </c>
      <c r="J98" s="48">
        <v>0</v>
      </c>
      <c r="K98" s="7">
        <v>39.905000000000001</v>
      </c>
      <c r="L98" s="13">
        <v>1</v>
      </c>
      <c r="M98" s="4">
        <v>0</v>
      </c>
      <c r="N98" s="4">
        <v>0</v>
      </c>
      <c r="O98" s="4">
        <v>0</v>
      </c>
      <c r="P98" s="7">
        <v>1</v>
      </c>
    </row>
    <row r="99" spans="1:16" x14ac:dyDescent="0.3">
      <c r="A99" s="3">
        <v>45957</v>
      </c>
      <c r="B99" s="4" t="s">
        <v>17</v>
      </c>
      <c r="C99" s="5">
        <v>7500</v>
      </c>
      <c r="D99" s="45">
        <v>2548.5700000000002</v>
      </c>
      <c r="E99" s="31">
        <v>0.34</v>
      </c>
      <c r="F99" s="45">
        <v>4951.43</v>
      </c>
      <c r="G99" s="6">
        <v>118</v>
      </c>
      <c r="H99" s="4">
        <v>88.207999999999998</v>
      </c>
      <c r="I99" s="45">
        <v>1883.8989999999999</v>
      </c>
      <c r="J99" s="4">
        <v>346.71</v>
      </c>
      <c r="K99" s="7">
        <v>229.75299999999999</v>
      </c>
      <c r="L99" s="13">
        <v>0.09</v>
      </c>
      <c r="M99" s="4">
        <v>2</v>
      </c>
      <c r="N99" s="4">
        <v>41</v>
      </c>
      <c r="O99" s="4">
        <v>17</v>
      </c>
      <c r="P99" s="7">
        <v>5</v>
      </c>
    </row>
    <row r="100" spans="1:16" x14ac:dyDescent="0.3">
      <c r="A100" s="3">
        <v>45957</v>
      </c>
      <c r="B100" s="4" t="s">
        <v>18</v>
      </c>
      <c r="C100" s="5">
        <v>6000</v>
      </c>
      <c r="D100" s="45">
        <v>4878.1809999999996</v>
      </c>
      <c r="E100" s="31">
        <v>0.81299999999999994</v>
      </c>
      <c r="F100" s="45">
        <v>1121.819</v>
      </c>
      <c r="G100" s="6">
        <v>34</v>
      </c>
      <c r="H100" s="45">
        <v>1714.63</v>
      </c>
      <c r="I100" s="45">
        <v>2130.393</v>
      </c>
      <c r="J100" s="4">
        <v>479.416</v>
      </c>
      <c r="K100" s="7">
        <v>553.74199999999996</v>
      </c>
      <c r="L100" s="13">
        <v>0.114</v>
      </c>
      <c r="M100" s="4">
        <v>56</v>
      </c>
      <c r="N100" s="4">
        <v>66</v>
      </c>
      <c r="O100" s="4">
        <v>51</v>
      </c>
      <c r="P100" s="7">
        <v>19</v>
      </c>
    </row>
    <row r="101" spans="1:16" ht="15" thickBot="1" x14ac:dyDescent="0.35">
      <c r="A101" s="8">
        <v>45957</v>
      </c>
      <c r="B101" s="9" t="s">
        <v>19</v>
      </c>
      <c r="C101" s="10">
        <v>5000</v>
      </c>
      <c r="D101" s="46">
        <v>3810.8029999999999</v>
      </c>
      <c r="E101" s="32">
        <v>0.76200000000000001</v>
      </c>
      <c r="F101" s="47">
        <v>1189.1969999999999</v>
      </c>
      <c r="G101" s="11">
        <v>25</v>
      </c>
      <c r="H101" s="9">
        <v>747.98</v>
      </c>
      <c r="I101" s="46">
        <v>2708.808</v>
      </c>
      <c r="J101" s="9">
        <v>377.63299999999998</v>
      </c>
      <c r="K101" s="50">
        <v>0</v>
      </c>
      <c r="L101" s="14">
        <v>0</v>
      </c>
      <c r="M101" s="9">
        <v>16</v>
      </c>
      <c r="N101" s="9">
        <v>58</v>
      </c>
      <c r="O101" s="9">
        <v>126</v>
      </c>
      <c r="P101" s="12">
        <v>0</v>
      </c>
    </row>
    <row r="102" spans="1:16" x14ac:dyDescent="0.3">
      <c r="A102" s="3">
        <v>45958</v>
      </c>
      <c r="B102" s="4" t="s">
        <v>16</v>
      </c>
      <c r="C102" s="5">
        <v>1500</v>
      </c>
      <c r="D102" s="4">
        <v>31.728999999999999</v>
      </c>
      <c r="E102" s="31">
        <v>2.1000000000000001E-2</v>
      </c>
      <c r="F102" s="4">
        <v>1468.271</v>
      </c>
      <c r="G102" s="6">
        <v>27</v>
      </c>
      <c r="H102" s="48">
        <v>0</v>
      </c>
      <c r="I102" s="48">
        <v>0</v>
      </c>
      <c r="J102" s="48">
        <v>0</v>
      </c>
      <c r="K102" s="7">
        <v>31.728999999999999</v>
      </c>
      <c r="L102" s="13">
        <v>1</v>
      </c>
      <c r="M102" s="4">
        <v>0</v>
      </c>
      <c r="N102" s="4">
        <v>0</v>
      </c>
      <c r="O102" s="4">
        <v>0</v>
      </c>
      <c r="P102" s="7">
        <v>1</v>
      </c>
    </row>
    <row r="103" spans="1:16" x14ac:dyDescent="0.3">
      <c r="A103" s="3">
        <v>45958</v>
      </c>
      <c r="B103" s="4" t="s">
        <v>17</v>
      </c>
      <c r="C103" s="5">
        <v>7500</v>
      </c>
      <c r="D103" s="4">
        <v>2591.85</v>
      </c>
      <c r="E103" s="31">
        <v>0.34600000000000003</v>
      </c>
      <c r="F103" s="4">
        <v>4908.1499999999996</v>
      </c>
      <c r="G103" s="6">
        <v>117</v>
      </c>
      <c r="H103" s="4">
        <v>632.11</v>
      </c>
      <c r="I103" s="4">
        <v>1342.913</v>
      </c>
      <c r="J103" s="4">
        <v>430.14</v>
      </c>
      <c r="K103" s="7">
        <v>186.68699999999981</v>
      </c>
      <c r="L103" s="13">
        <v>7.2000000000000008E-2</v>
      </c>
      <c r="M103" s="4">
        <v>14</v>
      </c>
      <c r="N103" s="4">
        <v>29</v>
      </c>
      <c r="O103" s="4">
        <v>34</v>
      </c>
      <c r="P103" s="7">
        <v>4</v>
      </c>
    </row>
    <row r="104" spans="1:16" x14ac:dyDescent="0.3">
      <c r="A104" s="3">
        <v>45958</v>
      </c>
      <c r="B104" s="4" t="s">
        <v>18</v>
      </c>
      <c r="C104" s="5">
        <v>6000</v>
      </c>
      <c r="D104" s="4">
        <v>4344.5540000000001</v>
      </c>
      <c r="E104" s="31">
        <v>0.72400000000000009</v>
      </c>
      <c r="F104" s="4">
        <v>1655.4459999999999</v>
      </c>
      <c r="G104" s="6">
        <v>50</v>
      </c>
      <c r="H104" s="4">
        <v>1136.3969999999999</v>
      </c>
      <c r="I104" s="4">
        <v>2429.567</v>
      </c>
      <c r="J104" s="4">
        <v>326.99</v>
      </c>
      <c r="K104" s="7">
        <v>451.60000000000008</v>
      </c>
      <c r="L104" s="13">
        <v>0.10400000000000001</v>
      </c>
      <c r="M104" s="4">
        <v>37</v>
      </c>
      <c r="N104" s="4">
        <v>77</v>
      </c>
      <c r="O104" s="4">
        <v>40</v>
      </c>
      <c r="P104" s="7">
        <v>16</v>
      </c>
    </row>
    <row r="105" spans="1:16" ht="15" thickBot="1" x14ac:dyDescent="0.35">
      <c r="A105" s="8">
        <v>45958</v>
      </c>
      <c r="B105" s="9" t="s">
        <v>19</v>
      </c>
      <c r="C105" s="10">
        <v>5000</v>
      </c>
      <c r="D105" s="9">
        <v>3761.7510000000002</v>
      </c>
      <c r="E105" s="32">
        <v>0.752</v>
      </c>
      <c r="F105" s="12">
        <v>1238.249</v>
      </c>
      <c r="G105" s="11">
        <v>26</v>
      </c>
      <c r="H105" s="9">
        <v>2008.8330000000001</v>
      </c>
      <c r="I105" s="9">
        <v>1264.877</v>
      </c>
      <c r="J105" s="9">
        <v>255.142</v>
      </c>
      <c r="K105" s="12">
        <v>232.89899999999969</v>
      </c>
      <c r="L105" s="14">
        <v>6.2E-2</v>
      </c>
      <c r="M105" s="9">
        <v>43</v>
      </c>
      <c r="N105" s="9">
        <v>27</v>
      </c>
      <c r="O105" s="9">
        <v>123</v>
      </c>
      <c r="P105" s="12">
        <v>5</v>
      </c>
    </row>
    <row r="106" spans="1:16" x14ac:dyDescent="0.3">
      <c r="A106" s="3">
        <v>45959</v>
      </c>
      <c r="B106" s="4" t="s">
        <v>16</v>
      </c>
      <c r="C106" s="5">
        <v>1500</v>
      </c>
      <c r="D106" s="4">
        <v>31.728999999999999</v>
      </c>
      <c r="E106" s="31">
        <v>2.1000000000000001E-2</v>
      </c>
      <c r="F106" s="4">
        <v>1468.271</v>
      </c>
      <c r="G106" s="6">
        <v>27</v>
      </c>
      <c r="H106" s="48">
        <v>0</v>
      </c>
      <c r="I106" s="48">
        <v>0</v>
      </c>
      <c r="J106" s="48">
        <v>0</v>
      </c>
      <c r="K106" s="7">
        <v>31.728999999999999</v>
      </c>
      <c r="L106" s="13">
        <v>1</v>
      </c>
      <c r="M106" s="4">
        <v>0</v>
      </c>
      <c r="N106" s="4">
        <v>0</v>
      </c>
      <c r="O106" s="4">
        <v>0</v>
      </c>
      <c r="P106" s="7">
        <v>1</v>
      </c>
    </row>
    <row r="107" spans="1:16" x14ac:dyDescent="0.3">
      <c r="A107" s="3">
        <v>45959</v>
      </c>
      <c r="B107" s="4" t="s">
        <v>17</v>
      </c>
      <c r="C107" s="5">
        <v>7500</v>
      </c>
      <c r="D107" s="4">
        <v>2110.703</v>
      </c>
      <c r="E107" s="31">
        <v>0.28100000000000003</v>
      </c>
      <c r="F107" s="4">
        <v>5389.2969999999996</v>
      </c>
      <c r="G107" s="6">
        <v>128</v>
      </c>
      <c r="H107" s="4">
        <v>632.11</v>
      </c>
      <c r="I107" s="4">
        <f>C107-H107-J107-F107</f>
        <v>1392.161000000001</v>
      </c>
      <c r="J107" s="4">
        <v>86.432000000000002</v>
      </c>
      <c r="K107" s="49">
        <v>0</v>
      </c>
      <c r="L107" s="13">
        <v>0</v>
      </c>
      <c r="M107" s="4">
        <v>14</v>
      </c>
      <c r="N107" s="4">
        <v>39</v>
      </c>
      <c r="O107" s="4">
        <v>24</v>
      </c>
      <c r="P107" s="7">
        <v>0</v>
      </c>
    </row>
    <row r="108" spans="1:16" x14ac:dyDescent="0.3">
      <c r="A108" s="3">
        <v>45959</v>
      </c>
      <c r="B108" s="4" t="s">
        <v>18</v>
      </c>
      <c r="C108" s="5">
        <v>6000</v>
      </c>
      <c r="D108" s="4">
        <v>4644.9740000000002</v>
      </c>
      <c r="E108" s="31">
        <v>0.77400000000000002</v>
      </c>
      <c r="F108" s="4">
        <v>1355.0260000000001</v>
      </c>
      <c r="G108" s="6">
        <v>41</v>
      </c>
      <c r="H108" s="4">
        <v>1168.7929999999999</v>
      </c>
      <c r="I108" s="4">
        <v>2966.5</v>
      </c>
      <c r="J108" s="4">
        <v>315.41699999999997</v>
      </c>
      <c r="K108" s="7">
        <v>194.26400000000049</v>
      </c>
      <c r="L108" s="13">
        <v>4.2000000000000003E-2</v>
      </c>
      <c r="M108" s="4">
        <v>38</v>
      </c>
      <c r="N108" s="4">
        <v>94</v>
      </c>
      <c r="O108" s="4">
        <v>23</v>
      </c>
      <c r="P108" s="7">
        <v>7</v>
      </c>
    </row>
    <row r="109" spans="1:16" ht="15" thickBot="1" x14ac:dyDescent="0.35">
      <c r="A109" s="8">
        <v>45959</v>
      </c>
      <c r="B109" s="9" t="s">
        <v>19</v>
      </c>
      <c r="C109" s="10">
        <v>5000</v>
      </c>
      <c r="D109" s="9">
        <v>4013.5830000000001</v>
      </c>
      <c r="E109" s="32">
        <v>0.80299999999999994</v>
      </c>
      <c r="F109" s="12">
        <v>986.41700000000037</v>
      </c>
      <c r="G109" s="11">
        <v>21</v>
      </c>
      <c r="H109" s="9">
        <v>1825.6020000000001</v>
      </c>
      <c r="I109" s="9">
        <f>D109-H109-J109-K109</f>
        <v>1697.6879999999999</v>
      </c>
      <c r="J109" s="9">
        <v>243.18600000000001</v>
      </c>
      <c r="K109" s="12">
        <v>247.10699999999991</v>
      </c>
      <c r="L109" s="14">
        <v>6.2E-2</v>
      </c>
      <c r="M109" s="9">
        <v>39</v>
      </c>
      <c r="N109" s="9">
        <v>36</v>
      </c>
      <c r="O109" s="9">
        <v>104</v>
      </c>
      <c r="P109" s="12">
        <v>5</v>
      </c>
    </row>
    <row r="110" spans="1:16" x14ac:dyDescent="0.3">
      <c r="A110" s="3">
        <v>45960</v>
      </c>
      <c r="B110" s="4" t="s">
        <v>16</v>
      </c>
      <c r="C110" s="5">
        <v>1500</v>
      </c>
      <c r="D110" s="4">
        <v>31.728999999999999</v>
      </c>
      <c r="E110" s="31">
        <v>2.1000000000000001E-2</v>
      </c>
      <c r="F110" s="4">
        <v>1468.271</v>
      </c>
      <c r="G110" s="6">
        <v>27</v>
      </c>
      <c r="H110" s="48">
        <v>0</v>
      </c>
      <c r="I110" s="48">
        <v>0</v>
      </c>
      <c r="J110" s="48">
        <v>0</v>
      </c>
      <c r="K110" s="7">
        <v>31.728999999999999</v>
      </c>
      <c r="L110" s="13">
        <v>1</v>
      </c>
      <c r="M110" s="4">
        <v>0</v>
      </c>
      <c r="N110" s="4">
        <v>0</v>
      </c>
      <c r="O110" s="4">
        <v>0</v>
      </c>
      <c r="P110" s="7">
        <v>1</v>
      </c>
    </row>
    <row r="111" spans="1:16" x14ac:dyDescent="0.3">
      <c r="A111" s="3">
        <v>45960</v>
      </c>
      <c r="B111" s="4" t="s">
        <v>17</v>
      </c>
      <c r="C111" s="5">
        <v>7500</v>
      </c>
      <c r="D111" s="4">
        <v>2296.5659999999998</v>
      </c>
      <c r="E111" s="31">
        <v>0.30599999999999999</v>
      </c>
      <c r="F111" s="4">
        <v>5203.4340000000002</v>
      </c>
      <c r="G111" s="6">
        <v>124</v>
      </c>
      <c r="H111" s="48">
        <v>0</v>
      </c>
      <c r="I111" s="4">
        <v>1804.9559999999999</v>
      </c>
      <c r="J111" s="4">
        <v>248.37899999999999</v>
      </c>
      <c r="K111" s="7">
        <v>243.23099999999971</v>
      </c>
      <c r="L111" s="13">
        <v>0.106</v>
      </c>
      <c r="M111" s="4">
        <v>0</v>
      </c>
      <c r="N111" s="4">
        <v>39</v>
      </c>
      <c r="O111" s="4">
        <v>24</v>
      </c>
      <c r="P111" s="7">
        <v>6</v>
      </c>
    </row>
    <row r="112" spans="1:16" x14ac:dyDescent="0.3">
      <c r="A112" s="3">
        <v>45960</v>
      </c>
      <c r="B112" s="4" t="s">
        <v>18</v>
      </c>
      <c r="C112" s="5">
        <v>6000</v>
      </c>
      <c r="D112" s="4">
        <v>4140.7449999999999</v>
      </c>
      <c r="E112" s="31">
        <v>0.69</v>
      </c>
      <c r="F112" s="4">
        <v>1859.2550000000001</v>
      </c>
      <c r="G112" s="6">
        <v>56</v>
      </c>
      <c r="H112" s="4">
        <v>267.904</v>
      </c>
      <c r="I112" s="4">
        <v>3112.1610000000001</v>
      </c>
      <c r="J112" s="4">
        <v>263.35300000000001</v>
      </c>
      <c r="K112" s="7">
        <v>497.32699999999983</v>
      </c>
      <c r="L112" s="13">
        <v>0.12</v>
      </c>
      <c r="M112" s="4">
        <v>9</v>
      </c>
      <c r="N112" s="4">
        <v>99</v>
      </c>
      <c r="O112" s="4">
        <v>22</v>
      </c>
      <c r="P112" s="7">
        <v>17</v>
      </c>
    </row>
    <row r="113" spans="1:16" ht="15" thickBot="1" x14ac:dyDescent="0.35">
      <c r="A113" s="8">
        <v>45960</v>
      </c>
      <c r="B113" s="9" t="s">
        <v>19</v>
      </c>
      <c r="C113" s="10">
        <v>5000</v>
      </c>
      <c r="D113" s="9">
        <v>3915.0169999999998</v>
      </c>
      <c r="E113" s="32">
        <v>0.78299999999999992</v>
      </c>
      <c r="F113" s="12">
        <v>1084.9829999999999</v>
      </c>
      <c r="G113" s="11">
        <v>23</v>
      </c>
      <c r="H113" s="9">
        <v>1108.434</v>
      </c>
      <c r="I113" s="9">
        <v>2170.2150000000001</v>
      </c>
      <c r="J113" s="9">
        <v>292.06599999999997</v>
      </c>
      <c r="K113" s="12">
        <v>344.30199999999951</v>
      </c>
      <c r="L113" s="14">
        <v>8.8000000000000009E-2</v>
      </c>
      <c r="M113" s="9">
        <v>24</v>
      </c>
      <c r="N113" s="9">
        <v>46</v>
      </c>
      <c r="O113" s="9">
        <v>106</v>
      </c>
      <c r="P113" s="12">
        <v>8</v>
      </c>
    </row>
    <row r="114" spans="1:16" x14ac:dyDescent="0.3">
      <c r="A114" s="3">
        <v>45964</v>
      </c>
      <c r="B114" s="4" t="s">
        <v>16</v>
      </c>
      <c r="C114" s="5">
        <v>1500</v>
      </c>
      <c r="D114" s="4">
        <v>31.728999999999999</v>
      </c>
      <c r="E114" s="31">
        <v>2.1000000000000001E-2</v>
      </c>
      <c r="F114" s="4">
        <v>1468.271</v>
      </c>
      <c r="G114" s="6">
        <v>27</v>
      </c>
      <c r="H114" s="48">
        <v>0</v>
      </c>
      <c r="I114" s="48">
        <v>0</v>
      </c>
      <c r="J114" s="48">
        <v>0</v>
      </c>
      <c r="K114" s="7">
        <v>31.728999999999999</v>
      </c>
      <c r="L114" s="13">
        <v>1</v>
      </c>
      <c r="M114" s="4">
        <v>0</v>
      </c>
      <c r="N114" s="4">
        <v>0</v>
      </c>
      <c r="O114" s="4">
        <v>0</v>
      </c>
      <c r="P114" s="7">
        <v>1</v>
      </c>
    </row>
    <row r="115" spans="1:16" x14ac:dyDescent="0.3">
      <c r="A115" s="3">
        <v>45964</v>
      </c>
      <c r="B115" s="4" t="s">
        <v>17</v>
      </c>
      <c r="C115" s="5">
        <v>7500</v>
      </c>
      <c r="D115" s="4">
        <v>2252.5050000000001</v>
      </c>
      <c r="E115" s="31">
        <v>0.3</v>
      </c>
      <c r="F115" s="4">
        <v>5247.4949999999999</v>
      </c>
      <c r="G115" s="6">
        <v>125</v>
      </c>
      <c r="H115" s="4">
        <v>1237.9110000000001</v>
      </c>
      <c r="I115" s="4">
        <v>567.04499999999996</v>
      </c>
      <c r="J115" s="4">
        <v>248.37899999999999</v>
      </c>
      <c r="K115" s="7">
        <v>199.1700000000001</v>
      </c>
      <c r="L115" s="13">
        <v>8.8000000000000009E-2</v>
      </c>
      <c r="M115" s="4">
        <v>26</v>
      </c>
      <c r="N115" s="4">
        <v>13</v>
      </c>
      <c r="O115" s="4">
        <v>24</v>
      </c>
      <c r="P115" s="7">
        <v>5</v>
      </c>
    </row>
    <row r="116" spans="1:16" x14ac:dyDescent="0.3">
      <c r="A116" s="3">
        <v>45964</v>
      </c>
      <c r="B116" s="4" t="s">
        <v>18</v>
      </c>
      <c r="C116" s="5">
        <v>6000</v>
      </c>
      <c r="D116" s="4">
        <v>3892.2669999999998</v>
      </c>
      <c r="E116" s="31">
        <v>0.64900000000000002</v>
      </c>
      <c r="F116" s="4">
        <v>2107.7330000000002</v>
      </c>
      <c r="G116" s="6">
        <v>64</v>
      </c>
      <c r="H116" s="4">
        <v>686.03800000000001</v>
      </c>
      <c r="I116" s="4">
        <v>2460.4789999999998</v>
      </c>
      <c r="J116" s="4">
        <v>286.87</v>
      </c>
      <c r="K116" s="7">
        <v>458.88</v>
      </c>
      <c r="L116" s="13">
        <v>0.11800000000000001</v>
      </c>
      <c r="M116" s="4">
        <v>23</v>
      </c>
      <c r="N116" s="4">
        <v>77</v>
      </c>
      <c r="O116" s="4">
        <v>21</v>
      </c>
      <c r="P116" s="7">
        <v>16</v>
      </c>
    </row>
    <row r="117" spans="1:16" ht="15" thickBot="1" x14ac:dyDescent="0.35">
      <c r="A117" s="8">
        <v>45964</v>
      </c>
      <c r="B117" s="9" t="s">
        <v>19</v>
      </c>
      <c r="C117" s="10">
        <v>5000</v>
      </c>
      <c r="D117" s="9">
        <v>3649.2109999999998</v>
      </c>
      <c r="E117" s="32">
        <v>0.73</v>
      </c>
      <c r="F117" s="12">
        <v>1350.789</v>
      </c>
      <c r="G117" s="11">
        <v>28</v>
      </c>
      <c r="H117" s="9">
        <v>522.577</v>
      </c>
      <c r="I117" s="9">
        <v>2591.6010000000001</v>
      </c>
      <c r="J117" s="9">
        <v>259.78100000000001</v>
      </c>
      <c r="K117" s="12">
        <v>275.25200000000041</v>
      </c>
      <c r="L117" s="14">
        <v>7.4999999999999997E-2</v>
      </c>
      <c r="M117" s="9">
        <v>11</v>
      </c>
      <c r="N117" s="9">
        <v>55</v>
      </c>
      <c r="O117" s="9">
        <v>97</v>
      </c>
      <c r="P117" s="12">
        <v>6</v>
      </c>
    </row>
    <row r="118" spans="1:16" x14ac:dyDescent="0.3">
      <c r="A118" s="3">
        <v>45965</v>
      </c>
      <c r="B118" s="4" t="s">
        <v>16</v>
      </c>
      <c r="C118" s="5">
        <v>1500</v>
      </c>
      <c r="D118" s="4">
        <v>31.728999999999999</v>
      </c>
      <c r="E118" s="31">
        <v>2.1000000000000001E-2</v>
      </c>
      <c r="F118" s="4">
        <v>1468.271</v>
      </c>
      <c r="G118" s="6">
        <v>27</v>
      </c>
      <c r="H118" s="48">
        <v>0</v>
      </c>
      <c r="I118" s="48">
        <v>0</v>
      </c>
      <c r="J118" s="48">
        <v>0</v>
      </c>
      <c r="K118" s="7">
        <v>31.728999999999999</v>
      </c>
      <c r="L118" s="13">
        <v>1</v>
      </c>
      <c r="M118" s="4">
        <v>0</v>
      </c>
      <c r="N118" s="4">
        <v>0</v>
      </c>
      <c r="O118" s="4">
        <v>0</v>
      </c>
      <c r="P118" s="7">
        <v>1</v>
      </c>
    </row>
    <row r="119" spans="1:16" x14ac:dyDescent="0.3">
      <c r="A119" s="3">
        <v>45965</v>
      </c>
      <c r="B119" s="4" t="s">
        <v>17</v>
      </c>
      <c r="C119" s="5">
        <v>7500</v>
      </c>
      <c r="D119" s="4">
        <v>2278.44</v>
      </c>
      <c r="E119" s="31">
        <v>0.30399999999999999</v>
      </c>
      <c r="F119" s="4">
        <v>5221.5599999999986</v>
      </c>
      <c r="G119" s="6">
        <v>124</v>
      </c>
      <c r="H119" s="4">
        <v>1232.6379999999999</v>
      </c>
      <c r="I119" s="4">
        <v>577.07100000000003</v>
      </c>
      <c r="J119" s="4">
        <v>285.92700000000002</v>
      </c>
      <c r="K119" s="7">
        <v>182.80400000000009</v>
      </c>
      <c r="L119" s="13">
        <v>0.08</v>
      </c>
      <c r="M119" s="4">
        <v>28</v>
      </c>
      <c r="N119" s="4">
        <v>11</v>
      </c>
      <c r="O119" s="4">
        <v>19</v>
      </c>
      <c r="P119" s="7">
        <v>4</v>
      </c>
    </row>
    <row r="120" spans="1:16" x14ac:dyDescent="0.3">
      <c r="A120" s="3">
        <v>45965</v>
      </c>
      <c r="B120" s="4" t="s">
        <v>18</v>
      </c>
      <c r="C120" s="5">
        <v>6000</v>
      </c>
      <c r="D120" s="4">
        <v>4131.5029999999997</v>
      </c>
      <c r="E120" s="31">
        <v>0.68900000000000006</v>
      </c>
      <c r="F120" s="4">
        <v>1868.4970000000001</v>
      </c>
      <c r="G120" s="6">
        <v>57</v>
      </c>
      <c r="H120" s="4">
        <v>2442.154</v>
      </c>
      <c r="I120" s="4">
        <v>1112.164</v>
      </c>
      <c r="J120" s="4">
        <v>85.065000000000012</v>
      </c>
      <c r="K120" s="7">
        <v>492.11999999999972</v>
      </c>
      <c r="L120" s="13">
        <v>0.11900000000000001</v>
      </c>
      <c r="M120" s="4">
        <v>79</v>
      </c>
      <c r="N120" s="4">
        <v>35</v>
      </c>
      <c r="O120" s="4">
        <v>7</v>
      </c>
      <c r="P120" s="7">
        <v>17</v>
      </c>
    </row>
    <row r="121" spans="1:16" ht="15" thickBot="1" x14ac:dyDescent="0.35">
      <c r="A121" s="8">
        <v>45965</v>
      </c>
      <c r="B121" s="9" t="s">
        <v>19</v>
      </c>
      <c r="C121" s="10">
        <v>5000</v>
      </c>
      <c r="D121" s="9">
        <v>3684.32</v>
      </c>
      <c r="E121" s="32">
        <v>0.73699999999999999</v>
      </c>
      <c r="F121" s="12">
        <v>1315.68</v>
      </c>
      <c r="G121" s="11">
        <v>27</v>
      </c>
      <c r="H121" s="9">
        <v>1505.307</v>
      </c>
      <c r="I121" s="9">
        <v>1917.2730000000001</v>
      </c>
      <c r="J121" s="9">
        <v>261.74</v>
      </c>
      <c r="K121" s="12">
        <v>0</v>
      </c>
      <c r="L121" s="14">
        <v>0</v>
      </c>
      <c r="M121" s="9">
        <v>32</v>
      </c>
      <c r="N121" s="9">
        <v>45</v>
      </c>
      <c r="O121" s="9">
        <v>105</v>
      </c>
      <c r="P121" s="12">
        <v>0</v>
      </c>
    </row>
    <row r="122" spans="1:16" x14ac:dyDescent="0.3">
      <c r="A122" s="3">
        <v>45966</v>
      </c>
      <c r="B122" s="4" t="s">
        <v>16</v>
      </c>
      <c r="C122" s="5">
        <v>1500</v>
      </c>
      <c r="D122" s="4">
        <v>31.728999999999999</v>
      </c>
      <c r="E122" s="31">
        <v>2.1000000000000001E-2</v>
      </c>
      <c r="F122" s="4">
        <v>1468.271</v>
      </c>
      <c r="G122" s="6">
        <v>27</v>
      </c>
      <c r="H122" s="48">
        <v>0</v>
      </c>
      <c r="I122" s="48">
        <v>0</v>
      </c>
      <c r="J122" s="48">
        <v>0</v>
      </c>
      <c r="K122" s="7">
        <v>31.728999999999999</v>
      </c>
      <c r="L122" s="13">
        <v>1</v>
      </c>
      <c r="M122" s="4">
        <v>0</v>
      </c>
      <c r="N122" s="4">
        <v>0</v>
      </c>
      <c r="O122" s="4">
        <v>0</v>
      </c>
      <c r="P122" s="7">
        <v>1</v>
      </c>
    </row>
    <row r="123" spans="1:16" x14ac:dyDescent="0.3">
      <c r="A123" s="3">
        <v>45966</v>
      </c>
      <c r="B123" s="4" t="s">
        <v>17</v>
      </c>
      <c r="C123" s="5">
        <v>7500</v>
      </c>
      <c r="D123" s="4">
        <v>2387.2069999999999</v>
      </c>
      <c r="E123" s="31">
        <v>0.318</v>
      </c>
      <c r="F123" s="4">
        <v>5112.7929999999997</v>
      </c>
      <c r="G123" s="6">
        <v>122</v>
      </c>
      <c r="H123" s="4">
        <v>1320.3879999999999</v>
      </c>
      <c r="I123" s="4">
        <v>577.07100000000003</v>
      </c>
      <c r="J123" s="4">
        <v>241.76499999999999</v>
      </c>
      <c r="K123" s="7">
        <v>247.98299999999989</v>
      </c>
      <c r="L123" s="13">
        <v>0.10400000000000001</v>
      </c>
      <c r="M123" s="4">
        <v>30</v>
      </c>
      <c r="N123" s="4">
        <v>11</v>
      </c>
      <c r="O123" s="4">
        <v>17</v>
      </c>
      <c r="P123" s="7">
        <v>6</v>
      </c>
    </row>
    <row r="124" spans="1:16" x14ac:dyDescent="0.3">
      <c r="A124" s="3">
        <v>45966</v>
      </c>
      <c r="B124" s="4" t="s">
        <v>18</v>
      </c>
      <c r="C124" s="5">
        <v>6000</v>
      </c>
      <c r="D124" s="4">
        <v>3442.18</v>
      </c>
      <c r="E124" s="31">
        <v>0.57399999999999995</v>
      </c>
      <c r="F124" s="4">
        <v>2557.8200000000002</v>
      </c>
      <c r="G124" s="6">
        <v>78</v>
      </c>
      <c r="H124" s="4">
        <v>2553.6610000000001</v>
      </c>
      <c r="I124" s="4">
        <v>322.83</v>
      </c>
      <c r="J124" s="4">
        <v>85.065000000000012</v>
      </c>
      <c r="K124" s="7">
        <v>480.62399999999991</v>
      </c>
      <c r="L124" s="13">
        <v>0.14000000000000001</v>
      </c>
      <c r="M124" s="4">
        <v>82</v>
      </c>
      <c r="N124" s="4">
        <v>9</v>
      </c>
      <c r="O124" s="4">
        <v>23</v>
      </c>
      <c r="P124" s="7">
        <v>17</v>
      </c>
    </row>
    <row r="125" spans="1:16" ht="15" thickBot="1" x14ac:dyDescent="0.35">
      <c r="A125" s="8">
        <v>45966</v>
      </c>
      <c r="B125" s="9" t="s">
        <v>19</v>
      </c>
      <c r="C125" s="10">
        <v>5000</v>
      </c>
      <c r="D125" s="9">
        <v>4026.5590000000002</v>
      </c>
      <c r="E125" s="32">
        <v>0.80500000000000005</v>
      </c>
      <c r="F125" s="12">
        <v>973.44100000000026</v>
      </c>
      <c r="G125" s="11">
        <v>20</v>
      </c>
      <c r="H125" s="9">
        <v>1410.307</v>
      </c>
      <c r="I125" s="9">
        <v>2599.4839999999999</v>
      </c>
      <c r="J125" s="9">
        <v>160.416</v>
      </c>
      <c r="K125" s="12">
        <v>0</v>
      </c>
      <c r="L125" s="14">
        <v>0</v>
      </c>
      <c r="M125" s="9">
        <v>30</v>
      </c>
      <c r="N125" s="9">
        <v>55</v>
      </c>
      <c r="O125" s="9">
        <v>95</v>
      </c>
      <c r="P125" s="12">
        <v>0</v>
      </c>
    </row>
    <row r="126" spans="1:16" x14ac:dyDescent="0.3">
      <c r="A126" s="3">
        <v>45967</v>
      </c>
      <c r="B126" s="4" t="s">
        <v>16</v>
      </c>
      <c r="C126" s="5">
        <v>1500</v>
      </c>
      <c r="D126" s="4">
        <v>31.728999999999999</v>
      </c>
      <c r="E126" s="31">
        <v>2.1000000000000001E-2</v>
      </c>
      <c r="F126" s="4">
        <v>1468.271</v>
      </c>
      <c r="G126" s="6">
        <v>27</v>
      </c>
      <c r="H126" s="48">
        <v>0</v>
      </c>
      <c r="I126" s="48">
        <v>0</v>
      </c>
      <c r="J126" s="48">
        <v>0</v>
      </c>
      <c r="K126" s="7">
        <v>31.728999999999999</v>
      </c>
      <c r="L126" s="13">
        <v>1</v>
      </c>
      <c r="M126" s="4">
        <v>0</v>
      </c>
      <c r="N126" s="4">
        <v>0</v>
      </c>
      <c r="O126" s="4">
        <v>0</v>
      </c>
      <c r="P126" s="7">
        <v>1</v>
      </c>
    </row>
    <row r="127" spans="1:16" x14ac:dyDescent="0.3">
      <c r="A127" s="3">
        <v>45967</v>
      </c>
      <c r="B127" s="4" t="s">
        <v>17</v>
      </c>
      <c r="C127" s="5">
        <v>7500</v>
      </c>
      <c r="D127" s="4">
        <v>1735.806</v>
      </c>
      <c r="E127" s="31">
        <v>0.23100000000000001</v>
      </c>
      <c r="F127" s="4">
        <v>5764.1940000000004</v>
      </c>
      <c r="G127" s="6">
        <v>137</v>
      </c>
      <c r="H127" s="4">
        <v>654.5</v>
      </c>
      <c r="I127" s="4">
        <v>577.07100000000003</v>
      </c>
      <c r="J127" s="4">
        <v>241.76499999999999</v>
      </c>
      <c r="K127" s="7">
        <v>262.47000000000003</v>
      </c>
      <c r="L127" s="13">
        <v>0.151</v>
      </c>
      <c r="M127" s="4">
        <v>15</v>
      </c>
      <c r="N127" s="4">
        <v>11</v>
      </c>
      <c r="O127" s="4">
        <v>17</v>
      </c>
      <c r="P127" s="7">
        <v>6</v>
      </c>
    </row>
    <row r="128" spans="1:16" x14ac:dyDescent="0.3">
      <c r="A128" s="3">
        <v>45967</v>
      </c>
      <c r="B128" s="4" t="s">
        <v>18</v>
      </c>
      <c r="C128" s="5">
        <v>6000</v>
      </c>
      <c r="D128" s="4">
        <v>3442.18</v>
      </c>
      <c r="E128" s="31">
        <v>0.57399999999999995</v>
      </c>
      <c r="F128" s="4">
        <v>2557.8200000000002</v>
      </c>
      <c r="G128" s="6">
        <v>78</v>
      </c>
      <c r="H128" s="4">
        <v>2553.6610000000001</v>
      </c>
      <c r="I128" s="4">
        <v>322.83</v>
      </c>
      <c r="J128" s="4">
        <v>85.065000000000012</v>
      </c>
      <c r="K128" s="7">
        <v>480.62399999999991</v>
      </c>
      <c r="L128" s="13">
        <v>0.14000000000000001</v>
      </c>
      <c r="M128" s="4">
        <v>82</v>
      </c>
      <c r="N128" s="4">
        <v>9</v>
      </c>
      <c r="O128" s="4">
        <v>27</v>
      </c>
      <c r="P128" s="7">
        <v>17</v>
      </c>
    </row>
    <row r="129" spans="1:16" ht="15" thickBot="1" x14ac:dyDescent="0.35">
      <c r="A129" s="8">
        <v>45967</v>
      </c>
      <c r="B129" s="9" t="s">
        <v>19</v>
      </c>
      <c r="C129" s="10">
        <v>5000</v>
      </c>
      <c r="D129" s="9">
        <v>4443.7550000000001</v>
      </c>
      <c r="E129" s="32">
        <v>0.88900000000000001</v>
      </c>
      <c r="F129" s="12">
        <v>556.24499999999989</v>
      </c>
      <c r="G129" s="11">
        <v>12</v>
      </c>
      <c r="H129" s="9">
        <v>1410.307</v>
      </c>
      <c r="I129" s="9">
        <v>2924.692</v>
      </c>
      <c r="J129" s="9">
        <v>124.488</v>
      </c>
      <c r="K129" s="12">
        <v>0</v>
      </c>
      <c r="L129" s="14">
        <v>0</v>
      </c>
      <c r="M129" s="9">
        <v>30</v>
      </c>
      <c r="N129" s="9">
        <v>62</v>
      </c>
      <c r="O129" s="9">
        <v>100</v>
      </c>
      <c r="P129" s="12">
        <v>0</v>
      </c>
    </row>
    <row r="130" spans="1:16" x14ac:dyDescent="0.3">
      <c r="A130" s="3">
        <v>45968</v>
      </c>
      <c r="B130" s="4" t="s">
        <v>16</v>
      </c>
      <c r="C130" s="5">
        <v>1500</v>
      </c>
      <c r="D130" s="4">
        <v>31.728999999999999</v>
      </c>
      <c r="E130" s="31">
        <v>2.1000000000000001E-2</v>
      </c>
      <c r="F130" s="4">
        <v>1468.271</v>
      </c>
      <c r="G130" s="6">
        <v>27</v>
      </c>
      <c r="H130" s="48">
        <v>0</v>
      </c>
      <c r="I130" s="48">
        <v>0</v>
      </c>
      <c r="J130" s="48">
        <v>0</v>
      </c>
      <c r="K130" s="7">
        <v>31.728999999999999</v>
      </c>
      <c r="L130" s="13">
        <v>1</v>
      </c>
      <c r="M130" s="4">
        <v>0</v>
      </c>
      <c r="N130" s="4">
        <v>0</v>
      </c>
      <c r="O130" s="4">
        <v>0</v>
      </c>
      <c r="P130" s="7">
        <v>1</v>
      </c>
    </row>
    <row r="131" spans="1:16" x14ac:dyDescent="0.3">
      <c r="A131" s="3">
        <v>45968</v>
      </c>
      <c r="B131" s="4" t="s">
        <v>17</v>
      </c>
      <c r="C131" s="5">
        <v>7500</v>
      </c>
      <c r="D131" s="4">
        <v>1846.652</v>
      </c>
      <c r="E131" s="31">
        <v>0.246</v>
      </c>
      <c r="F131" s="4">
        <v>5653.348</v>
      </c>
      <c r="G131" s="6">
        <v>135</v>
      </c>
      <c r="H131" s="4">
        <v>439.57900000000001</v>
      </c>
      <c r="I131" s="4">
        <v>964.68399999999997</v>
      </c>
      <c r="J131" s="4">
        <v>179.91900000000001</v>
      </c>
      <c r="K131" s="7">
        <v>262.47000000000003</v>
      </c>
      <c r="L131" s="13">
        <v>0.14199999999999999</v>
      </c>
      <c r="M131" s="4">
        <v>10</v>
      </c>
      <c r="N131" s="4">
        <v>20</v>
      </c>
      <c r="O131" s="4">
        <v>13</v>
      </c>
      <c r="P131" s="7">
        <v>6</v>
      </c>
    </row>
    <row r="132" spans="1:16" x14ac:dyDescent="0.3">
      <c r="A132" s="3">
        <v>45968</v>
      </c>
      <c r="B132" s="4" t="s">
        <v>18</v>
      </c>
      <c r="C132" s="5">
        <v>6000</v>
      </c>
      <c r="D132" s="4">
        <v>2891.4450000000002</v>
      </c>
      <c r="E132" s="31">
        <v>0.48199999999999998</v>
      </c>
      <c r="F132" s="4">
        <v>3108.5549999999998</v>
      </c>
      <c r="G132" s="6">
        <v>94</v>
      </c>
      <c r="H132" s="4">
        <v>1941.81</v>
      </c>
      <c r="I132" s="4">
        <v>322.83</v>
      </c>
      <c r="J132" s="4">
        <v>85.064999999999998</v>
      </c>
      <c r="K132" s="7">
        <v>541.74</v>
      </c>
      <c r="L132" s="13">
        <v>0.187</v>
      </c>
      <c r="M132" s="4">
        <v>62</v>
      </c>
      <c r="N132" s="4">
        <v>9</v>
      </c>
      <c r="O132" s="4">
        <v>27</v>
      </c>
      <c r="P132" s="7">
        <v>19</v>
      </c>
    </row>
    <row r="133" spans="1:16" ht="15" thickBot="1" x14ac:dyDescent="0.35">
      <c r="A133" s="8">
        <v>45968</v>
      </c>
      <c r="B133" s="9" t="s">
        <v>19</v>
      </c>
      <c r="C133" s="10">
        <v>5000</v>
      </c>
      <c r="D133" s="9">
        <v>4778.9610000000002</v>
      </c>
      <c r="E133" s="32">
        <v>0.95599999999999996</v>
      </c>
      <c r="F133" s="12">
        <v>221.03899999999999</v>
      </c>
      <c r="G133" s="11">
        <v>5</v>
      </c>
      <c r="H133" s="9">
        <v>1456.739</v>
      </c>
      <c r="I133" s="9">
        <v>3110.5709999999999</v>
      </c>
      <c r="J133" s="9">
        <v>83.021000000000001</v>
      </c>
      <c r="K133" s="12">
        <v>128.63</v>
      </c>
      <c r="L133" s="14">
        <v>2.7E-2</v>
      </c>
      <c r="M133" s="9">
        <v>31</v>
      </c>
      <c r="N133" s="9">
        <v>66</v>
      </c>
      <c r="O133" s="9">
        <v>98</v>
      </c>
      <c r="P133" s="12">
        <v>3</v>
      </c>
    </row>
    <row r="134" spans="1:16" x14ac:dyDescent="0.3">
      <c r="A134" s="3">
        <v>45971</v>
      </c>
      <c r="B134" s="4" t="s">
        <v>16</v>
      </c>
      <c r="C134" s="5">
        <v>1500</v>
      </c>
      <c r="D134" s="4">
        <v>31.728999999999999</v>
      </c>
      <c r="E134" s="31">
        <v>2.1000000000000001E-2</v>
      </c>
      <c r="F134" s="4">
        <v>1468.271</v>
      </c>
      <c r="G134" s="6">
        <v>27</v>
      </c>
      <c r="H134" s="48">
        <v>0</v>
      </c>
      <c r="I134" s="48">
        <v>0</v>
      </c>
      <c r="J134" s="48">
        <v>0</v>
      </c>
      <c r="K134" s="7">
        <v>31.728999999999999</v>
      </c>
      <c r="L134" s="13">
        <v>1</v>
      </c>
      <c r="M134" s="4">
        <v>0</v>
      </c>
      <c r="N134" s="4">
        <v>0</v>
      </c>
      <c r="O134" s="4">
        <v>0</v>
      </c>
      <c r="P134" s="7">
        <v>1</v>
      </c>
    </row>
    <row r="135" spans="1:16" x14ac:dyDescent="0.3">
      <c r="A135" s="3">
        <v>45971</v>
      </c>
      <c r="B135" s="4" t="s">
        <v>17</v>
      </c>
      <c r="C135" s="5">
        <v>7500</v>
      </c>
      <c r="D135" s="4">
        <v>2007.174</v>
      </c>
      <c r="E135" s="31">
        <v>0.26800000000000002</v>
      </c>
      <c r="F135" s="4">
        <v>5492.826</v>
      </c>
      <c r="G135" s="6">
        <v>131</v>
      </c>
      <c r="H135" s="4">
        <v>439.57900000000001</v>
      </c>
      <c r="I135" s="4">
        <v>1168.838</v>
      </c>
      <c r="J135" s="4">
        <v>44.843000000000004</v>
      </c>
      <c r="K135" s="7">
        <v>353.91399999999999</v>
      </c>
      <c r="L135" s="13">
        <v>0.17600000000000002</v>
      </c>
      <c r="M135" s="4">
        <v>10</v>
      </c>
      <c r="N135" s="4">
        <v>25</v>
      </c>
      <c r="O135" s="4">
        <v>8</v>
      </c>
      <c r="P135" s="7">
        <v>8</v>
      </c>
    </row>
    <row r="136" spans="1:16" x14ac:dyDescent="0.3">
      <c r="A136" s="3">
        <v>45971</v>
      </c>
      <c r="B136" s="4" t="s">
        <v>18</v>
      </c>
      <c r="C136" s="5">
        <v>6000</v>
      </c>
      <c r="D136" s="4">
        <v>2465.9140000000002</v>
      </c>
      <c r="E136" s="31">
        <v>0.41100000000000003</v>
      </c>
      <c r="F136" s="4">
        <v>3534.0859999999998</v>
      </c>
      <c r="G136" s="6">
        <v>107</v>
      </c>
      <c r="H136" s="4">
        <v>1941.81</v>
      </c>
      <c r="I136" s="4">
        <v>503.85599999999999</v>
      </c>
      <c r="J136" s="4">
        <v>19.815999999999999</v>
      </c>
      <c r="K136" s="7">
        <v>0.43200000000027222</v>
      </c>
      <c r="L136" s="13">
        <v>0</v>
      </c>
      <c r="M136" s="4">
        <v>62</v>
      </c>
      <c r="N136" s="4">
        <v>15</v>
      </c>
      <c r="O136" s="4">
        <v>73</v>
      </c>
      <c r="P136" s="7">
        <v>0</v>
      </c>
    </row>
    <row r="137" spans="1:16" ht="15" thickBot="1" x14ac:dyDescent="0.35">
      <c r="A137" s="8">
        <v>45971</v>
      </c>
      <c r="B137" s="9" t="s">
        <v>19</v>
      </c>
      <c r="C137" s="10">
        <v>5000</v>
      </c>
      <c r="D137" s="9">
        <v>4028.0430000000001</v>
      </c>
      <c r="E137" s="32">
        <v>0.80599999999999994</v>
      </c>
      <c r="F137" s="12">
        <v>971.95700000000033</v>
      </c>
      <c r="G137" s="11">
        <v>20</v>
      </c>
      <c r="H137" s="9">
        <v>1456.739</v>
      </c>
      <c r="I137" s="9">
        <v>2513.027</v>
      </c>
      <c r="J137" s="9">
        <v>58.277000000000001</v>
      </c>
      <c r="K137" s="12">
        <v>0</v>
      </c>
      <c r="L137" s="14">
        <v>0</v>
      </c>
      <c r="M137" s="9">
        <v>31</v>
      </c>
      <c r="N137" s="9">
        <v>67</v>
      </c>
      <c r="O137" s="9">
        <v>96</v>
      </c>
      <c r="P137" s="12">
        <v>0</v>
      </c>
    </row>
    <row r="138" spans="1:16" x14ac:dyDescent="0.3">
      <c r="A138" s="3">
        <v>45972</v>
      </c>
      <c r="B138" s="4" t="s">
        <v>16</v>
      </c>
      <c r="C138" s="5">
        <v>1500</v>
      </c>
      <c r="D138" s="4">
        <v>31.728999999999999</v>
      </c>
      <c r="E138" s="31">
        <v>2.1000000000000001E-2</v>
      </c>
      <c r="F138" s="4">
        <v>1468.271</v>
      </c>
      <c r="G138" s="6">
        <v>27</v>
      </c>
      <c r="H138" s="48">
        <v>0</v>
      </c>
      <c r="I138" s="48">
        <v>0</v>
      </c>
      <c r="J138" s="48">
        <v>0</v>
      </c>
      <c r="K138" s="7">
        <v>31.728999999999999</v>
      </c>
      <c r="L138" s="13">
        <v>1</v>
      </c>
      <c r="M138" s="4">
        <v>0</v>
      </c>
      <c r="N138" s="4">
        <v>0</v>
      </c>
      <c r="O138" s="4">
        <v>0</v>
      </c>
      <c r="P138" s="7">
        <v>1</v>
      </c>
    </row>
    <row r="139" spans="1:16" x14ac:dyDescent="0.3">
      <c r="A139" s="3">
        <v>45972</v>
      </c>
      <c r="B139" s="4" t="s">
        <v>17</v>
      </c>
      <c r="C139" s="5">
        <v>7500</v>
      </c>
      <c r="D139" s="4">
        <v>2093.5770000000002</v>
      </c>
      <c r="E139" s="31">
        <v>0.27899999999999997</v>
      </c>
      <c r="F139" s="4">
        <v>5406.4230000000007</v>
      </c>
      <c r="G139" s="6">
        <v>129</v>
      </c>
      <c r="H139" s="4">
        <v>1435.569</v>
      </c>
      <c r="I139" s="4">
        <v>357.88200000000001</v>
      </c>
      <c r="J139" s="4">
        <v>37.655999999999999</v>
      </c>
      <c r="K139" s="7">
        <v>262.4699999999998</v>
      </c>
      <c r="L139" s="13">
        <v>0.125</v>
      </c>
      <c r="M139" s="4">
        <v>33</v>
      </c>
      <c r="N139" s="4">
        <v>6</v>
      </c>
      <c r="O139" s="4">
        <v>5</v>
      </c>
      <c r="P139" s="7">
        <v>6</v>
      </c>
    </row>
    <row r="140" spans="1:16" x14ac:dyDescent="0.3">
      <c r="A140" s="3">
        <v>45972</v>
      </c>
      <c r="B140" s="4" t="s">
        <v>18</v>
      </c>
      <c r="C140" s="5">
        <v>6000</v>
      </c>
      <c r="D140" s="4">
        <v>1864.6559999999999</v>
      </c>
      <c r="E140" s="31">
        <v>0.311</v>
      </c>
      <c r="F140" s="4">
        <v>4135.3440000000001</v>
      </c>
      <c r="G140" s="6">
        <v>125</v>
      </c>
      <c r="H140" s="4">
        <v>1089.116</v>
      </c>
      <c r="I140" s="4">
        <v>224.67099999999999</v>
      </c>
      <c r="J140" s="4">
        <v>24.7</v>
      </c>
      <c r="K140" s="7">
        <v>526.16899999999987</v>
      </c>
      <c r="L140" s="13">
        <v>0.28199999999999997</v>
      </c>
      <c r="M140" s="4">
        <v>35</v>
      </c>
      <c r="N140" s="4">
        <v>8</v>
      </c>
      <c r="O140" s="4">
        <v>78</v>
      </c>
      <c r="P140" s="7">
        <v>18</v>
      </c>
    </row>
    <row r="141" spans="1:16" ht="15" thickBot="1" x14ac:dyDescent="0.35">
      <c r="A141" s="8">
        <v>45972</v>
      </c>
      <c r="B141" s="9" t="s">
        <v>19</v>
      </c>
      <c r="C141" s="10">
        <v>5000</v>
      </c>
      <c r="D141" s="9">
        <v>4194.0219999999999</v>
      </c>
      <c r="E141" s="32">
        <v>0.83900000000000008</v>
      </c>
      <c r="F141" s="12">
        <v>805.97800000000007</v>
      </c>
      <c r="G141" s="11">
        <v>17</v>
      </c>
      <c r="H141" s="9">
        <v>3342.645</v>
      </c>
      <c r="I141" s="9">
        <v>623.14599999999996</v>
      </c>
      <c r="J141" s="9">
        <v>144.13399999999999</v>
      </c>
      <c r="K141" s="12">
        <v>84.097000000000008</v>
      </c>
      <c r="L141" s="14">
        <v>0.02</v>
      </c>
      <c r="M141" s="9">
        <v>71</v>
      </c>
      <c r="N141" s="9">
        <v>13</v>
      </c>
      <c r="O141" s="9">
        <v>89</v>
      </c>
      <c r="P141" s="12">
        <v>2</v>
      </c>
    </row>
    <row r="142" spans="1:16" x14ac:dyDescent="0.3">
      <c r="A142" s="3">
        <v>45973</v>
      </c>
      <c r="B142" s="4" t="s">
        <v>16</v>
      </c>
      <c r="C142" s="5">
        <v>1500</v>
      </c>
      <c r="D142" s="4">
        <v>31.728999999999999</v>
      </c>
      <c r="E142" s="31">
        <v>2.1000000000000001E-2</v>
      </c>
      <c r="F142" s="4">
        <v>1468.271</v>
      </c>
      <c r="G142" s="6">
        <v>27</v>
      </c>
      <c r="H142" s="48">
        <v>0</v>
      </c>
      <c r="I142" s="48">
        <v>0</v>
      </c>
      <c r="J142" s="48">
        <v>0</v>
      </c>
      <c r="K142" s="7">
        <v>31.728999999999999</v>
      </c>
      <c r="L142" s="13">
        <v>1</v>
      </c>
      <c r="M142" s="4">
        <v>0</v>
      </c>
      <c r="N142" s="4">
        <v>0</v>
      </c>
      <c r="O142" s="4">
        <v>0</v>
      </c>
      <c r="P142" s="7">
        <v>1</v>
      </c>
    </row>
    <row r="143" spans="1:16" x14ac:dyDescent="0.3">
      <c r="A143" s="3">
        <v>45973</v>
      </c>
      <c r="B143" s="4" t="s">
        <v>17</v>
      </c>
      <c r="C143" s="5">
        <v>7500</v>
      </c>
      <c r="D143" s="4">
        <v>2139.08</v>
      </c>
      <c r="E143" s="31">
        <v>0.28499999999999998</v>
      </c>
      <c r="F143" s="4">
        <v>5360.92</v>
      </c>
      <c r="G143" s="6">
        <v>128</v>
      </c>
      <c r="H143" s="4">
        <v>1012.226</v>
      </c>
      <c r="I143" s="4">
        <v>781.22500000000002</v>
      </c>
      <c r="J143" s="4">
        <v>83.158999999999992</v>
      </c>
      <c r="K143" s="7">
        <v>262.4699999999998</v>
      </c>
      <c r="L143" s="13">
        <v>0.12300000000000001</v>
      </c>
      <c r="M143" s="4">
        <v>23</v>
      </c>
      <c r="N143" s="4">
        <v>16</v>
      </c>
      <c r="O143" s="4">
        <v>5</v>
      </c>
      <c r="P143" s="7">
        <v>6</v>
      </c>
    </row>
    <row r="144" spans="1:16" x14ac:dyDescent="0.3">
      <c r="A144" s="3">
        <v>45973</v>
      </c>
      <c r="B144" s="4" t="s">
        <v>18</v>
      </c>
      <c r="C144" s="5">
        <v>6000</v>
      </c>
      <c r="D144" s="4">
        <v>1809.0039999999999</v>
      </c>
      <c r="E144" s="31">
        <v>0.30199999999999999</v>
      </c>
      <c r="F144" s="4">
        <v>4190.9960000000001</v>
      </c>
      <c r="G144" s="6">
        <v>127</v>
      </c>
      <c r="H144" s="4">
        <v>474.70100000000002</v>
      </c>
      <c r="I144" s="4">
        <v>448.60599999999999</v>
      </c>
      <c r="J144" s="4">
        <v>256.84699999999998</v>
      </c>
      <c r="K144" s="7">
        <v>628.85000000000014</v>
      </c>
      <c r="L144" s="13">
        <v>0.34799999999999998</v>
      </c>
      <c r="M144" s="4">
        <v>14</v>
      </c>
      <c r="N144" s="4">
        <v>15</v>
      </c>
      <c r="O144" s="4">
        <v>67</v>
      </c>
      <c r="P144" s="7">
        <v>22</v>
      </c>
    </row>
    <row r="145" spans="1:16" ht="15" thickBot="1" x14ac:dyDescent="0.35">
      <c r="A145" s="8">
        <v>45973</v>
      </c>
      <c r="B145" s="9" t="s">
        <v>19</v>
      </c>
      <c r="C145" s="10">
        <v>5000</v>
      </c>
      <c r="D145" s="9">
        <v>4826.8549999999996</v>
      </c>
      <c r="E145" s="32">
        <v>0.96499999999999997</v>
      </c>
      <c r="F145" s="12">
        <v>173.1449999999995</v>
      </c>
      <c r="G145" s="11">
        <v>4</v>
      </c>
      <c r="H145" s="9">
        <v>3341.2130000000002</v>
      </c>
      <c r="I145" s="9">
        <v>1095.136</v>
      </c>
      <c r="J145" s="9">
        <v>298.93299999999999</v>
      </c>
      <c r="K145" s="12">
        <v>91.573000000000775</v>
      </c>
      <c r="L145" s="14">
        <v>1.9E-2</v>
      </c>
      <c r="M145" s="9">
        <v>71</v>
      </c>
      <c r="N145" s="9">
        <v>23</v>
      </c>
      <c r="O145" s="9">
        <v>92</v>
      </c>
      <c r="P145" s="1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4477-68B9-42A8-AC22-63EE0EA20A96}">
  <dimension ref="A1:P15"/>
  <sheetViews>
    <sheetView showGridLines="0" workbookViewId="0">
      <selection activeCell="P5" sqref="A2:P5"/>
    </sheetView>
  </sheetViews>
  <sheetFormatPr baseColWidth="10" defaultRowHeight="14.4" x14ac:dyDescent="0.3"/>
  <cols>
    <col min="7" max="7" width="9.33203125" customWidth="1"/>
    <col min="8" max="8" width="13" customWidth="1"/>
    <col min="9" max="10" width="13.21875" customWidth="1"/>
    <col min="11" max="11" width="10.88671875" customWidth="1"/>
    <col min="12" max="12" width="8.77734375" bestFit="1" customWidth="1"/>
    <col min="13" max="13" width="11" customWidth="1"/>
  </cols>
  <sheetData>
    <row r="1" spans="1:16" ht="36.6" thickBot="1" x14ac:dyDescent="0.35">
      <c r="A1" s="1" t="s">
        <v>0</v>
      </c>
      <c r="B1" s="2" t="s">
        <v>1</v>
      </c>
      <c r="C1" s="2" t="s">
        <v>26</v>
      </c>
      <c r="D1" s="2" t="s">
        <v>27</v>
      </c>
      <c r="E1" s="2" t="s">
        <v>20</v>
      </c>
      <c r="F1" s="2" t="s">
        <v>25</v>
      </c>
      <c r="G1" s="2" t="s">
        <v>6</v>
      </c>
      <c r="H1" s="2" t="s">
        <v>24</v>
      </c>
      <c r="I1" s="2" t="s">
        <v>23</v>
      </c>
      <c r="J1" s="2" t="s">
        <v>22</v>
      </c>
      <c r="K1" s="2" t="s">
        <v>21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45973</v>
      </c>
      <c r="B2" s="4" t="s">
        <v>16</v>
      </c>
      <c r="C2" s="28">
        <v>1500</v>
      </c>
      <c r="D2" s="19">
        <v>31.728999999999999</v>
      </c>
      <c r="E2" s="41">
        <v>2.1000000000000001E-2</v>
      </c>
      <c r="F2" s="19">
        <v>1468.271</v>
      </c>
      <c r="G2" s="6">
        <v>27</v>
      </c>
      <c r="H2" s="19">
        <v>0</v>
      </c>
      <c r="I2" s="19">
        <v>0</v>
      </c>
      <c r="J2" s="19">
        <v>0</v>
      </c>
      <c r="K2" s="22">
        <v>31.728999999999999</v>
      </c>
      <c r="L2" s="41">
        <v>1</v>
      </c>
      <c r="M2" s="4">
        <v>0</v>
      </c>
      <c r="N2" s="4">
        <v>0</v>
      </c>
      <c r="O2" s="4">
        <v>0</v>
      </c>
      <c r="P2" s="7">
        <v>1</v>
      </c>
    </row>
    <row r="3" spans="1:16" x14ac:dyDescent="0.3">
      <c r="A3" s="3">
        <v>45973</v>
      </c>
      <c r="B3" s="4" t="s">
        <v>17</v>
      </c>
      <c r="C3" s="28">
        <v>7500</v>
      </c>
      <c r="D3" s="19">
        <v>2139.08</v>
      </c>
      <c r="E3" s="41">
        <v>0.28499999999999998</v>
      </c>
      <c r="F3" s="19">
        <v>5360.92</v>
      </c>
      <c r="G3" s="6">
        <v>128</v>
      </c>
      <c r="H3" s="19">
        <v>1012.226</v>
      </c>
      <c r="I3" s="19">
        <v>781.22500000000002</v>
      </c>
      <c r="J3" s="19">
        <v>83.158999999999992</v>
      </c>
      <c r="K3" s="22">
        <v>262.4699999999998</v>
      </c>
      <c r="L3" s="41">
        <v>0.12300000000000001</v>
      </c>
      <c r="M3" s="4">
        <v>23</v>
      </c>
      <c r="N3" s="4">
        <v>16</v>
      </c>
      <c r="O3" s="4">
        <v>5</v>
      </c>
      <c r="P3" s="7">
        <v>6</v>
      </c>
    </row>
    <row r="4" spans="1:16" x14ac:dyDescent="0.3">
      <c r="A4" s="3">
        <v>45973</v>
      </c>
      <c r="B4" s="4" t="s">
        <v>18</v>
      </c>
      <c r="C4" s="28">
        <v>6000</v>
      </c>
      <c r="D4" s="19">
        <v>1809.0039999999999</v>
      </c>
      <c r="E4" s="41">
        <v>0.30199999999999999</v>
      </c>
      <c r="F4" s="19">
        <v>4190.9960000000001</v>
      </c>
      <c r="G4" s="6">
        <v>127</v>
      </c>
      <c r="H4" s="19">
        <v>474.70100000000002</v>
      </c>
      <c r="I4" s="19">
        <v>448.60599999999999</v>
      </c>
      <c r="J4" s="19">
        <v>256.84699999999998</v>
      </c>
      <c r="K4" s="22">
        <v>628.85000000000014</v>
      </c>
      <c r="L4" s="41">
        <v>0.34799999999999998</v>
      </c>
      <c r="M4" s="4">
        <v>14</v>
      </c>
      <c r="N4" s="4">
        <v>15</v>
      </c>
      <c r="O4" s="4">
        <v>67</v>
      </c>
      <c r="P4" s="7">
        <v>22</v>
      </c>
    </row>
    <row r="5" spans="1:16" ht="15" thickBot="1" x14ac:dyDescent="0.35">
      <c r="A5" s="8">
        <v>45973</v>
      </c>
      <c r="B5" s="9" t="s">
        <v>19</v>
      </c>
      <c r="C5" s="29">
        <v>5000</v>
      </c>
      <c r="D5" s="20">
        <v>4826.8549999999996</v>
      </c>
      <c r="E5" s="44">
        <v>0.96499999999999997</v>
      </c>
      <c r="F5" s="20">
        <v>173.1449999999995</v>
      </c>
      <c r="G5" s="11">
        <v>4</v>
      </c>
      <c r="H5" s="20">
        <v>3341.2130000000002</v>
      </c>
      <c r="I5" s="20">
        <v>1095.136</v>
      </c>
      <c r="J5" s="20">
        <v>298.93299999999999</v>
      </c>
      <c r="K5" s="23">
        <v>91.573000000000775</v>
      </c>
      <c r="L5" s="41">
        <v>1.9E-2</v>
      </c>
      <c r="M5" s="9">
        <v>71</v>
      </c>
      <c r="N5" s="9">
        <v>23</v>
      </c>
      <c r="O5" s="9">
        <v>92</v>
      </c>
      <c r="P5" s="12">
        <v>2</v>
      </c>
    </row>
    <row r="6" spans="1:16" ht="15" thickBot="1" x14ac:dyDescent="0.35">
      <c r="A6" s="15"/>
      <c r="B6" s="15"/>
      <c r="C6" s="30">
        <f>SUM(C2:C5)</f>
        <v>20000</v>
      </c>
      <c r="D6" s="27">
        <f>SUM(D2:D5)</f>
        <v>8806.6679999999997</v>
      </c>
      <c r="E6" s="42">
        <f>D6/C6</f>
        <v>0.44033339999999999</v>
      </c>
      <c r="F6" s="27">
        <f t="shared" ref="F6:K6" si="0">SUM(F2:F5)</f>
        <v>11193.331999999999</v>
      </c>
      <c r="G6" s="16">
        <f t="shared" si="0"/>
        <v>286</v>
      </c>
      <c r="H6" s="27">
        <f t="shared" si="0"/>
        <v>4828.1400000000003</v>
      </c>
      <c r="I6" s="24">
        <f t="shared" si="0"/>
        <v>2324.9670000000001</v>
      </c>
      <c r="J6" s="27">
        <f t="shared" si="0"/>
        <v>638.93899999999996</v>
      </c>
      <c r="K6" s="25">
        <f t="shared" si="0"/>
        <v>1014.6220000000008</v>
      </c>
      <c r="L6" s="43">
        <f>K6/D6</f>
        <v>0.11521065628907559</v>
      </c>
      <c r="M6" s="17">
        <f>SUM(M2:M5)</f>
        <v>108</v>
      </c>
      <c r="N6" s="17">
        <f>SUM(N2:N5)</f>
        <v>54</v>
      </c>
      <c r="O6" s="17">
        <f>SUM(O2:O5)</f>
        <v>164</v>
      </c>
      <c r="P6" s="18">
        <f>SUM(P2:P5)</f>
        <v>31</v>
      </c>
    </row>
    <row r="8" spans="1:16" x14ac:dyDescent="0.3">
      <c r="E8">
        <f>E2/100</f>
        <v>2.1000000000000001E-4</v>
      </c>
      <c r="L8">
        <f>L2/100</f>
        <v>0.01</v>
      </c>
    </row>
    <row r="9" spans="1:16" x14ac:dyDescent="0.3">
      <c r="E9">
        <f>E3/100</f>
        <v>2.8499999999999997E-3</v>
      </c>
      <c r="L9">
        <f>L3/100</f>
        <v>1.2300000000000002E-3</v>
      </c>
    </row>
    <row r="10" spans="1:16" x14ac:dyDescent="0.3">
      <c r="E10">
        <f>E4/100</f>
        <v>3.0200000000000001E-3</v>
      </c>
      <c r="L10">
        <f>L4/100</f>
        <v>3.4799999999999996E-3</v>
      </c>
    </row>
    <row r="11" spans="1:16" x14ac:dyDescent="0.3">
      <c r="E11">
        <f>E5/100</f>
        <v>9.6499999999999989E-3</v>
      </c>
      <c r="L11">
        <f>L5/100</f>
        <v>1.8999999999999998E-4</v>
      </c>
    </row>
    <row r="15" spans="1:16" x14ac:dyDescent="0.3">
      <c r="F15" s="2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28EE-5C48-4D88-AF1D-26E8A80DBA28}">
  <dimension ref="A1:R15"/>
  <sheetViews>
    <sheetView showGridLines="0" workbookViewId="0">
      <selection activeCell="A2" sqref="A2"/>
    </sheetView>
  </sheetViews>
  <sheetFormatPr baseColWidth="10" defaultRowHeight="14.4" x14ac:dyDescent="0.3"/>
  <cols>
    <col min="7" max="7" width="9.33203125" customWidth="1"/>
    <col min="8" max="8" width="13" customWidth="1"/>
    <col min="9" max="9" width="10.77734375" bestFit="1" customWidth="1"/>
    <col min="10" max="11" width="13.21875" customWidth="1"/>
    <col min="12" max="12" width="10.88671875" customWidth="1"/>
    <col min="13" max="13" width="8.21875" customWidth="1"/>
    <col min="14" max="15" width="11" customWidth="1"/>
  </cols>
  <sheetData>
    <row r="1" spans="1:18" ht="36.6" thickBot="1" x14ac:dyDescent="0.35">
      <c r="A1" s="1" t="s">
        <v>0</v>
      </c>
      <c r="B1" s="2" t="s">
        <v>1</v>
      </c>
      <c r="C1" s="2" t="s">
        <v>26</v>
      </c>
      <c r="D1" s="2" t="s">
        <v>27</v>
      </c>
      <c r="E1" s="2" t="s">
        <v>20</v>
      </c>
      <c r="F1" s="2" t="s">
        <v>25</v>
      </c>
      <c r="G1" s="2" t="s">
        <v>6</v>
      </c>
      <c r="H1" s="2" t="s">
        <v>24</v>
      </c>
      <c r="I1" s="2" t="s">
        <v>28</v>
      </c>
      <c r="J1" s="2" t="s">
        <v>23</v>
      </c>
      <c r="K1" s="2" t="s">
        <v>22</v>
      </c>
      <c r="L1" s="2" t="s">
        <v>21</v>
      </c>
      <c r="M1" s="1" t="s">
        <v>11</v>
      </c>
      <c r="N1" s="2" t="s">
        <v>12</v>
      </c>
      <c r="O1" s="2" t="s">
        <v>29</v>
      </c>
      <c r="P1" s="2" t="s">
        <v>13</v>
      </c>
      <c r="Q1" s="2" t="s">
        <v>14</v>
      </c>
      <c r="R1" s="2" t="s">
        <v>15</v>
      </c>
    </row>
    <row r="2" spans="1:18" x14ac:dyDescent="0.3">
      <c r="A2" s="3">
        <v>45933</v>
      </c>
      <c r="B2" s="4" t="s">
        <v>16</v>
      </c>
      <c r="C2" s="28">
        <v>1500</v>
      </c>
      <c r="D2" s="19">
        <v>145.21299999999999</v>
      </c>
      <c r="E2" s="33">
        <v>9.6999999999999993</v>
      </c>
      <c r="F2" s="19">
        <v>1354.787</v>
      </c>
      <c r="G2" s="6">
        <v>25</v>
      </c>
      <c r="H2" s="19">
        <v>105.30800000000001</v>
      </c>
      <c r="I2" s="38">
        <f>45*O2</f>
        <v>0</v>
      </c>
      <c r="J2" s="19">
        <v>0</v>
      </c>
      <c r="K2" s="19">
        <v>0</v>
      </c>
      <c r="L2" s="22">
        <v>39.905000000000001</v>
      </c>
      <c r="M2" s="36">
        <v>27.5</v>
      </c>
      <c r="N2" s="4">
        <v>2</v>
      </c>
      <c r="O2" s="7">
        <v>0</v>
      </c>
      <c r="P2" s="4">
        <v>0</v>
      </c>
      <c r="Q2" s="4">
        <v>0</v>
      </c>
      <c r="R2" s="7">
        <v>1</v>
      </c>
    </row>
    <row r="3" spans="1:18" x14ac:dyDescent="0.3">
      <c r="A3" s="3">
        <v>45933</v>
      </c>
      <c r="B3" s="4" t="s">
        <v>17</v>
      </c>
      <c r="C3" s="28">
        <v>7500</v>
      </c>
      <c r="D3" s="19">
        <v>2012.614</v>
      </c>
      <c r="E3" s="33">
        <v>26.8</v>
      </c>
      <c r="F3" s="19">
        <v>5487.3860000000004</v>
      </c>
      <c r="G3" s="6">
        <v>131</v>
      </c>
      <c r="H3" s="19">
        <v>523.79500000000007</v>
      </c>
      <c r="I3" s="22">
        <f>45*O3</f>
        <v>0</v>
      </c>
      <c r="J3" s="19">
        <v>475.786</v>
      </c>
      <c r="K3" s="19">
        <v>208.458</v>
      </c>
      <c r="L3" s="22">
        <v>804.57499999999993</v>
      </c>
      <c r="M3" s="36">
        <v>40</v>
      </c>
      <c r="N3" s="4">
        <v>6</v>
      </c>
      <c r="O3" s="7">
        <v>0</v>
      </c>
      <c r="P3" s="4">
        <v>3</v>
      </c>
      <c r="Q3" s="4">
        <v>9</v>
      </c>
      <c r="R3" s="7">
        <v>19</v>
      </c>
    </row>
    <row r="4" spans="1:18" x14ac:dyDescent="0.3">
      <c r="A4" s="3">
        <v>45933</v>
      </c>
      <c r="B4" s="4" t="s">
        <v>18</v>
      </c>
      <c r="C4" s="28">
        <v>6000</v>
      </c>
      <c r="D4" s="19">
        <v>3706.2860000000001</v>
      </c>
      <c r="E4" s="33">
        <v>61.8</v>
      </c>
      <c r="F4" s="19">
        <v>2293.7139999999999</v>
      </c>
      <c r="G4" s="6">
        <v>70</v>
      </c>
      <c r="H4" s="19">
        <v>1175.1089999999999</v>
      </c>
      <c r="I4" s="22">
        <f>45*O4</f>
        <v>0</v>
      </c>
      <c r="J4" s="19">
        <v>1643.2339999999999</v>
      </c>
      <c r="K4" s="19">
        <v>430.65800000000002</v>
      </c>
      <c r="L4" s="22">
        <v>457.2850000000002</v>
      </c>
      <c r="M4" s="36">
        <v>12.3</v>
      </c>
      <c r="N4" s="4">
        <v>38</v>
      </c>
      <c r="O4" s="7">
        <v>0</v>
      </c>
      <c r="P4" s="4">
        <v>41</v>
      </c>
      <c r="Q4" s="4">
        <v>114</v>
      </c>
      <c r="R4" s="7">
        <v>16</v>
      </c>
    </row>
    <row r="5" spans="1:18" ht="15" thickBot="1" x14ac:dyDescent="0.35">
      <c r="A5" s="8">
        <v>45933</v>
      </c>
      <c r="B5" s="9" t="s">
        <v>19</v>
      </c>
      <c r="C5" s="29">
        <v>5000</v>
      </c>
      <c r="D5" s="20">
        <v>4858.9870000000001</v>
      </c>
      <c r="E5" s="34">
        <v>97.2</v>
      </c>
      <c r="F5" s="19">
        <v>141.01299999999989</v>
      </c>
      <c r="G5" s="11">
        <v>3</v>
      </c>
      <c r="H5" s="20">
        <v>3083.2190000000001</v>
      </c>
      <c r="I5" s="23">
        <f>45*O5</f>
        <v>720</v>
      </c>
      <c r="J5" s="20">
        <v>1754.298</v>
      </c>
      <c r="K5" s="20">
        <v>167.95</v>
      </c>
      <c r="L5" s="23">
        <v>0</v>
      </c>
      <c r="M5" s="40">
        <v>0</v>
      </c>
      <c r="N5" s="9">
        <v>68</v>
      </c>
      <c r="O5" s="12">
        <v>16</v>
      </c>
      <c r="P5" s="9">
        <v>38</v>
      </c>
      <c r="Q5" s="9">
        <v>187</v>
      </c>
      <c r="R5" s="12">
        <v>0</v>
      </c>
    </row>
    <row r="6" spans="1:18" ht="15" thickBot="1" x14ac:dyDescent="0.35">
      <c r="A6" s="15"/>
      <c r="B6" s="15"/>
      <c r="C6" s="30">
        <f>SUM(C2:C5)</f>
        <v>20000</v>
      </c>
      <c r="D6" s="27">
        <f>SUM(D2:D5)</f>
        <v>10723.1</v>
      </c>
      <c r="E6" s="35">
        <f>AVERAGE(E2:E5)</f>
        <v>48.875</v>
      </c>
      <c r="F6" s="26">
        <f t="shared" ref="F6:L6" si="0">SUM(F2:F5)</f>
        <v>9276.9</v>
      </c>
      <c r="G6" s="16">
        <f t="shared" si="0"/>
        <v>229</v>
      </c>
      <c r="H6" s="27">
        <f t="shared" si="0"/>
        <v>4887.4310000000005</v>
      </c>
      <c r="I6" s="39">
        <f>SUM(I2:I5)</f>
        <v>720</v>
      </c>
      <c r="J6" s="24">
        <f t="shared" si="0"/>
        <v>3873.3180000000002</v>
      </c>
      <c r="K6" s="27">
        <f t="shared" si="0"/>
        <v>807.06600000000003</v>
      </c>
      <c r="L6" s="25">
        <f t="shared" si="0"/>
        <v>1301.7650000000001</v>
      </c>
      <c r="M6" s="37">
        <f>AVERAGE(M2:M5)</f>
        <v>19.95</v>
      </c>
      <c r="N6" s="17">
        <f>SUM(N2:N5)</f>
        <v>114</v>
      </c>
      <c r="O6" s="18">
        <f>SUM(O2:O5)</f>
        <v>16</v>
      </c>
      <c r="P6" s="17">
        <f>SUM(P2:P5)</f>
        <v>82</v>
      </c>
      <c r="Q6" s="17">
        <f>SUM(Q2:Q5)</f>
        <v>310</v>
      </c>
      <c r="R6" s="18">
        <f>SUM(R2:R5)</f>
        <v>36</v>
      </c>
    </row>
    <row r="15" spans="1:18" x14ac:dyDescent="0.3">
      <c r="F15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Fuentes Retamal</dc:creator>
  <cp:lastModifiedBy>Luis Fuentes Retamal</cp:lastModifiedBy>
  <dcterms:created xsi:type="dcterms:W3CDTF">2025-09-24T12:24:01Z</dcterms:created>
  <dcterms:modified xsi:type="dcterms:W3CDTF">2025-11-12T12:06:28Z</dcterms:modified>
</cp:coreProperties>
</file>