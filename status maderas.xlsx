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98D75B8A-B044-43DA-8A88-E2D8E2E8B9A1}" xr6:coauthVersionLast="47" xr6:coauthVersionMax="47" xr10:uidLastSave="{00000000-0000-0000-0000-000000000000}"/>
  <bookViews>
    <workbookView xWindow="0" yWindow="360" windowWidth="23256" windowHeight="12456" xr2:uid="{401E0A5E-E421-4CA9-A4F2-433498E10714}"/>
  </bookViews>
  <sheets>
    <sheet name="Hoja1" sheetId="1" r:id="rId1"/>
    <sheet name="Hoja2" sheetId="2" r:id="rId2"/>
    <sheet name="Hoja2 (2)" sheetId="3" r:id="rId3"/>
  </sheets>
  <definedNames>
    <definedName name="_xlnm._FilterDatabase" localSheetId="0" hidden="1">Hoja1!$A$1:$P$53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O6" i="3"/>
  <c r="I6" i="3" l="1"/>
  <c r="R6" i="3"/>
  <c r="Q6" i="3"/>
  <c r="P6" i="3"/>
  <c r="N6" i="3"/>
  <c r="M6" i="3"/>
  <c r="L6" i="3"/>
  <c r="K6" i="3"/>
  <c r="J6" i="3"/>
  <c r="H6" i="3"/>
  <c r="G6" i="3"/>
  <c r="F6" i="3"/>
  <c r="E6" i="3"/>
  <c r="D6" i="3"/>
  <c r="C6" i="3"/>
  <c r="P6" i="2"/>
  <c r="O6" i="2"/>
  <c r="N6" i="2"/>
  <c r="M6" i="2"/>
  <c r="K6" i="2"/>
  <c r="J6" i="2"/>
  <c r="I6" i="2"/>
  <c r="H6" i="2"/>
  <c r="G6" i="2"/>
  <c r="F6" i="2"/>
  <c r="D6" i="2"/>
  <c r="C6" i="2"/>
  <c r="L6" i="2" l="1"/>
  <c r="E6" i="2"/>
</calcChain>
</file>

<file path=xl/sharedStrings.xml><?xml version="1.0" encoding="utf-8"?>
<sst xmlns="http://schemas.openxmlformats.org/spreadsheetml/2006/main" count="110" uniqueCount="30">
  <si>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</si>
  <si>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</si>
  <si>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</si>
  <si>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</si>
  <si>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</si>
  <si>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</si>
  <si>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</si>
  <si>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</si>
  <si>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</si>
  <si>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</si>
  <si>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</si>
  <si>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</si>
  <si>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</si>
  <si>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</si>
  <si>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</si>
  <si>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</si>
  <si>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</si>
  <si>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</si>
  <si>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</si>
  <si>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</si>
  <si>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</si>
  <si>
    <t>Stock Piedra (m³)</t>
  </si>
  <si>
    <t>Volumen E. Incompletas Sin Programa (m³)</t>
  </si>
  <si>
    <t>Volumen Consolidable Sin Programa (m³)</t>
  </si>
  <si>
    <t>Volumen Consolidable Con Programa (m³)</t>
  </si>
  <si>
    <t>Holgura (m³)</t>
  </si>
  <si>
    <t>Capacidad (m³)</t>
  </si>
  <si>
    <t>Vol. Stock
(m³)</t>
  </si>
  <si>
    <t>Volumen a 
consolidar hoy
(m³)</t>
  </si>
  <si>
    <t>Proyeccion
Consolidado Hoy (CT)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</si>
</sst>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\ %"/>
    <numFmt numFmtId="166" formatCode="General\ \%"/>
    <numFmt numFmtId="167" formatCode="0.0%"/>
  </numFmts>
  <fonts count="8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5" fillId="0" borderId="10" xfId="0" applyNumberFormat="1" applyFont="1" applyBorder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/>
    </xf>
    <xf numFmtId="167" fontId="2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53"/>
  <sheetViews>
    <sheetView showGridLines="0" tabSelected="1" workbookViewId="0">
      <pane ySplit="1" topLeftCell="A32" activePane="bottomLeft" state="frozen"/>
      <selection pane="bottomLeft" activeCell="E50" sqref="E50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  <row r="26" spans="1:16" x14ac:dyDescent="0.3">
      <c r="A26" s="3">
        <v>45931</v>
      </c>
      <c r="B26" s="4" t="s">
        <v>16</v>
      </c>
      <c r="C26" s="5">
        <v>1500</v>
      </c>
      <c r="D26" s="4">
        <v>145.21299999999999</v>
      </c>
      <c r="E26" s="31">
        <v>9.6999999999999989E-2</v>
      </c>
      <c r="F26" s="4">
        <v>1354.787</v>
      </c>
      <c r="G26" s="6">
        <v>25</v>
      </c>
      <c r="H26" s="4">
        <v>105.30800000000001</v>
      </c>
      <c r="I26" s="4">
        <v>0</v>
      </c>
      <c r="J26" s="4">
        <v>0</v>
      </c>
      <c r="K26" s="7">
        <v>39.905000000000001</v>
      </c>
      <c r="L26" s="13">
        <v>0.27500000000000002</v>
      </c>
      <c r="M26" s="4">
        <v>2</v>
      </c>
      <c r="N26" s="4">
        <v>0</v>
      </c>
      <c r="O26" s="4">
        <v>0</v>
      </c>
      <c r="P26" s="7">
        <v>1</v>
      </c>
    </row>
    <row r="27" spans="1:16" x14ac:dyDescent="0.3">
      <c r="A27" s="3">
        <v>45931</v>
      </c>
      <c r="B27" s="4" t="s">
        <v>17</v>
      </c>
      <c r="C27" s="5">
        <v>7500</v>
      </c>
      <c r="D27" s="4">
        <v>1742.3589999999999</v>
      </c>
      <c r="E27" s="31">
        <v>0.23199999999999998</v>
      </c>
      <c r="F27" s="4">
        <v>5757.6409999999996</v>
      </c>
      <c r="G27" s="6">
        <v>137</v>
      </c>
      <c r="H27" s="4">
        <v>0</v>
      </c>
      <c r="I27" s="4">
        <v>572.61400000000003</v>
      </c>
      <c r="J27" s="4">
        <v>430.44600000000003</v>
      </c>
      <c r="K27" s="7">
        <v>739.29899999999986</v>
      </c>
      <c r="L27" s="13">
        <v>0.42399999999999999</v>
      </c>
      <c r="M27" s="4">
        <v>0</v>
      </c>
      <c r="N27" s="4">
        <v>11</v>
      </c>
      <c r="O27" s="4">
        <v>30</v>
      </c>
      <c r="P27" s="7">
        <v>18</v>
      </c>
    </row>
    <row r="28" spans="1:16" x14ac:dyDescent="0.3">
      <c r="A28" s="3">
        <v>45931</v>
      </c>
      <c r="B28" s="4" t="s">
        <v>18</v>
      </c>
      <c r="C28" s="5">
        <v>6000</v>
      </c>
      <c r="D28" s="4">
        <v>3253.828</v>
      </c>
      <c r="E28" s="31">
        <v>0.54200000000000004</v>
      </c>
      <c r="F28" s="4">
        <v>2746.172</v>
      </c>
      <c r="G28" s="6">
        <v>83</v>
      </c>
      <c r="H28" s="4">
        <v>208.85599999999999</v>
      </c>
      <c r="I28" s="4">
        <v>2039.134</v>
      </c>
      <c r="J28" s="4">
        <v>578.61099999999999</v>
      </c>
      <c r="K28" s="7">
        <v>427.22699999999969</v>
      </c>
      <c r="L28" s="13">
        <v>0.13100000000000001</v>
      </c>
      <c r="M28" s="4">
        <v>7</v>
      </c>
      <c r="N28" s="4">
        <v>69</v>
      </c>
      <c r="O28" s="4">
        <v>122</v>
      </c>
      <c r="P28" s="7">
        <v>15</v>
      </c>
    </row>
    <row r="29" spans="1:16" ht="15" thickBot="1" x14ac:dyDescent="0.35">
      <c r="A29" s="8">
        <v>45931</v>
      </c>
      <c r="B29" s="9" t="s">
        <v>19</v>
      </c>
      <c r="C29" s="10">
        <v>5000</v>
      </c>
      <c r="D29" s="9">
        <v>4553.674</v>
      </c>
      <c r="E29" s="32">
        <v>0.91099999999999992</v>
      </c>
      <c r="F29" s="12">
        <v>446.32600000000002</v>
      </c>
      <c r="G29" s="11">
        <v>9</v>
      </c>
      <c r="H29" s="9">
        <v>3484.9789999999998</v>
      </c>
      <c r="I29" s="9">
        <v>741.75400000000002</v>
      </c>
      <c r="J29" s="9">
        <v>61.485999999999997</v>
      </c>
      <c r="K29" s="12">
        <v>265.45500000000021</v>
      </c>
      <c r="L29" s="14">
        <v>5.7999999999999996E-2</v>
      </c>
      <c r="M29" s="9">
        <v>77</v>
      </c>
      <c r="N29" s="9">
        <v>16</v>
      </c>
      <c r="O29" s="9">
        <v>169</v>
      </c>
      <c r="P29" s="12">
        <v>6</v>
      </c>
    </row>
    <row r="30" spans="1:16" x14ac:dyDescent="0.3">
      <c r="A30" s="3">
        <v>45932</v>
      </c>
      <c r="B30" s="4" t="s">
        <v>16</v>
      </c>
      <c r="C30" s="5">
        <v>1500</v>
      </c>
      <c r="D30" s="4">
        <v>145.21299999999999</v>
      </c>
      <c r="E30" s="31">
        <v>9.6999999999999989E-2</v>
      </c>
      <c r="F30" s="4">
        <v>1354.787</v>
      </c>
      <c r="G30" s="6">
        <v>25</v>
      </c>
      <c r="H30" s="4">
        <v>105.30800000000001</v>
      </c>
      <c r="I30" s="4">
        <v>0</v>
      </c>
      <c r="J30" s="4">
        <v>0</v>
      </c>
      <c r="K30" s="7">
        <v>39.905000000000001</v>
      </c>
      <c r="L30" s="13">
        <v>0.27500000000000002</v>
      </c>
      <c r="M30" s="4">
        <v>2</v>
      </c>
      <c r="N30" s="4">
        <v>0</v>
      </c>
      <c r="O30" s="4">
        <v>0</v>
      </c>
      <c r="P30" s="7">
        <v>1</v>
      </c>
    </row>
    <row r="31" spans="1:16" x14ac:dyDescent="0.3">
      <c r="A31" s="3">
        <v>45932</v>
      </c>
      <c r="B31" s="4" t="s">
        <v>17</v>
      </c>
      <c r="C31" s="5">
        <v>7500</v>
      </c>
      <c r="D31" s="4">
        <v>1807.635</v>
      </c>
      <c r="E31" s="31">
        <v>0.24100000000000002</v>
      </c>
      <c r="F31" s="4">
        <v>5692.3649999999998</v>
      </c>
      <c r="G31" s="6">
        <v>136</v>
      </c>
      <c r="H31" s="4">
        <v>0</v>
      </c>
      <c r="I31" s="4">
        <v>751.61900000000003</v>
      </c>
      <c r="J31" s="4">
        <v>288.55399999999997</v>
      </c>
      <c r="K31" s="7">
        <v>767.4620000000001</v>
      </c>
      <c r="L31" s="13">
        <v>0.42499999999999999</v>
      </c>
      <c r="M31" s="4">
        <v>0</v>
      </c>
      <c r="N31" s="4">
        <v>6</v>
      </c>
      <c r="O31" s="4">
        <v>12</v>
      </c>
      <c r="P31" s="7">
        <v>18</v>
      </c>
    </row>
    <row r="32" spans="1:16" x14ac:dyDescent="0.3">
      <c r="A32" s="3">
        <v>45932</v>
      </c>
      <c r="B32" s="4" t="s">
        <v>18</v>
      </c>
      <c r="C32" s="5">
        <v>6000</v>
      </c>
      <c r="D32" s="4">
        <v>3647.51</v>
      </c>
      <c r="E32" s="31">
        <v>0.60799999999999998</v>
      </c>
      <c r="F32" s="4">
        <v>2352.4899999999998</v>
      </c>
      <c r="G32" s="6">
        <v>71</v>
      </c>
      <c r="H32" s="4">
        <v>208.85599999999999</v>
      </c>
      <c r="I32" s="4">
        <v>2674.3490000000002</v>
      </c>
      <c r="J32" s="4">
        <v>540.024</v>
      </c>
      <c r="K32" s="7">
        <v>224.28100000000029</v>
      </c>
      <c r="L32" s="13">
        <v>6.0999999999999999E-2</v>
      </c>
      <c r="M32" s="4">
        <v>7</v>
      </c>
      <c r="N32" s="4">
        <v>75</v>
      </c>
      <c r="O32" s="4">
        <v>91</v>
      </c>
      <c r="P32" s="7">
        <v>8</v>
      </c>
    </row>
    <row r="33" spans="1:16" ht="15" thickBot="1" x14ac:dyDescent="0.35">
      <c r="A33" s="8">
        <v>45932</v>
      </c>
      <c r="B33" s="9" t="s">
        <v>19</v>
      </c>
      <c r="C33" s="10">
        <v>5000</v>
      </c>
      <c r="D33" s="9">
        <v>4654.2820000000002</v>
      </c>
      <c r="E33" s="32">
        <v>0.93099999999999994</v>
      </c>
      <c r="F33" s="12">
        <v>345.71799999999979</v>
      </c>
      <c r="G33" s="11">
        <v>7</v>
      </c>
      <c r="H33" s="9">
        <v>3382.6909999999998</v>
      </c>
      <c r="I33" s="9">
        <v>1157.7929999999999</v>
      </c>
      <c r="J33" s="9">
        <v>122.67</v>
      </c>
      <c r="K33" s="12">
        <v>0</v>
      </c>
      <c r="L33" s="14">
        <v>0</v>
      </c>
      <c r="M33" s="9">
        <v>75</v>
      </c>
      <c r="N33" s="9">
        <v>25</v>
      </c>
      <c r="O33" s="9">
        <v>200</v>
      </c>
      <c r="P33" s="12">
        <v>0</v>
      </c>
    </row>
    <row r="34" spans="1:16" x14ac:dyDescent="0.3">
      <c r="A34" s="3">
        <v>45933</v>
      </c>
      <c r="B34" s="4" t="s">
        <v>16</v>
      </c>
      <c r="C34" s="5">
        <v>1500</v>
      </c>
      <c r="D34" s="4">
        <v>145.21299999999999</v>
      </c>
      <c r="E34" s="31">
        <v>9.6999999999999989E-2</v>
      </c>
      <c r="F34" s="4">
        <v>1354.787</v>
      </c>
      <c r="G34" s="6">
        <v>25</v>
      </c>
      <c r="H34" s="4">
        <v>105.30800000000001</v>
      </c>
      <c r="I34" s="4">
        <v>0</v>
      </c>
      <c r="J34" s="4">
        <v>0</v>
      </c>
      <c r="K34" s="7">
        <v>39.905000000000001</v>
      </c>
      <c r="L34" s="13">
        <v>0.27500000000000002</v>
      </c>
      <c r="M34" s="4">
        <v>2</v>
      </c>
      <c r="N34" s="4">
        <v>0</v>
      </c>
      <c r="O34" s="4">
        <v>0</v>
      </c>
      <c r="P34" s="7">
        <v>1</v>
      </c>
    </row>
    <row r="35" spans="1:16" x14ac:dyDescent="0.3">
      <c r="A35" s="3">
        <v>45933</v>
      </c>
      <c r="B35" s="4" t="s">
        <v>17</v>
      </c>
      <c r="C35" s="5">
        <v>7500</v>
      </c>
      <c r="D35" s="4">
        <v>2012.614</v>
      </c>
      <c r="E35" s="31">
        <v>0.26800000000000002</v>
      </c>
      <c r="F35" s="4">
        <v>5487.3860000000004</v>
      </c>
      <c r="G35" s="6">
        <v>131</v>
      </c>
      <c r="H35" s="4">
        <v>523.79500000000007</v>
      </c>
      <c r="I35" s="4">
        <v>475.786</v>
      </c>
      <c r="J35" s="4">
        <v>208.458</v>
      </c>
      <c r="K35" s="7">
        <v>804.57499999999993</v>
      </c>
      <c r="L35" s="13">
        <v>0.4</v>
      </c>
      <c r="M35" s="4">
        <v>6</v>
      </c>
      <c r="N35" s="4">
        <v>3</v>
      </c>
      <c r="O35" s="4">
        <v>9</v>
      </c>
      <c r="P35" s="7">
        <v>19</v>
      </c>
    </row>
    <row r="36" spans="1:16" x14ac:dyDescent="0.3">
      <c r="A36" s="3">
        <v>45933</v>
      </c>
      <c r="B36" s="4" t="s">
        <v>18</v>
      </c>
      <c r="C36" s="5">
        <v>6000</v>
      </c>
      <c r="D36" s="4">
        <v>3706.2860000000001</v>
      </c>
      <c r="E36" s="31">
        <v>0.61799999999999999</v>
      </c>
      <c r="F36" s="4">
        <v>2293.7139999999999</v>
      </c>
      <c r="G36" s="6">
        <v>70</v>
      </c>
      <c r="H36" s="4">
        <v>1175.1089999999999</v>
      </c>
      <c r="I36" s="4">
        <v>1643.2339999999999</v>
      </c>
      <c r="J36" s="4">
        <v>430.65800000000002</v>
      </c>
      <c r="K36" s="7">
        <v>457.2850000000002</v>
      </c>
      <c r="L36" s="13">
        <v>0.12300000000000001</v>
      </c>
      <c r="M36" s="4">
        <v>38</v>
      </c>
      <c r="N36" s="4">
        <v>41</v>
      </c>
      <c r="O36" s="4">
        <v>114</v>
      </c>
      <c r="P36" s="7">
        <v>16</v>
      </c>
    </row>
    <row r="37" spans="1:16" ht="15" thickBot="1" x14ac:dyDescent="0.35">
      <c r="A37" s="8">
        <v>45933</v>
      </c>
      <c r="B37" s="9" t="s">
        <v>19</v>
      </c>
      <c r="C37" s="10">
        <v>5000</v>
      </c>
      <c r="D37" s="9">
        <v>4858.9870000000001</v>
      </c>
      <c r="E37" s="32">
        <v>0.97199999999999998</v>
      </c>
      <c r="F37" s="12">
        <v>141.01299999999989</v>
      </c>
      <c r="G37" s="11">
        <v>3</v>
      </c>
      <c r="H37" s="9">
        <v>3083.2190000000001</v>
      </c>
      <c r="I37" s="9">
        <v>1754.298</v>
      </c>
      <c r="J37" s="9">
        <v>167.95</v>
      </c>
      <c r="K37" s="12">
        <v>0</v>
      </c>
      <c r="L37" s="14">
        <v>0</v>
      </c>
      <c r="M37" s="9">
        <v>68</v>
      </c>
      <c r="N37" s="9">
        <v>38</v>
      </c>
      <c r="O37" s="9">
        <v>187</v>
      </c>
      <c r="P37" s="12">
        <v>0</v>
      </c>
    </row>
    <row r="38" spans="1:16" x14ac:dyDescent="0.3">
      <c r="A38" s="3">
        <v>45936</v>
      </c>
      <c r="B38" s="4" t="s">
        <v>16</v>
      </c>
      <c r="C38" s="5">
        <v>1500</v>
      </c>
      <c r="D38" s="4">
        <v>150.999</v>
      </c>
      <c r="E38" s="31">
        <v>0.10099999999999999</v>
      </c>
      <c r="F38" s="4">
        <v>1349.001</v>
      </c>
      <c r="G38" s="6">
        <v>25</v>
      </c>
      <c r="H38" s="4">
        <v>105.30800000000001</v>
      </c>
      <c r="I38" s="4">
        <v>0</v>
      </c>
      <c r="J38" s="4">
        <v>0</v>
      </c>
      <c r="K38" s="7">
        <v>45.691000000000003</v>
      </c>
      <c r="L38" s="13">
        <v>0.30299999999999999</v>
      </c>
      <c r="M38" s="4">
        <v>2</v>
      </c>
      <c r="N38" s="4">
        <v>0</v>
      </c>
      <c r="O38" s="4">
        <v>0</v>
      </c>
      <c r="P38" s="7">
        <v>1</v>
      </c>
    </row>
    <row r="39" spans="1:16" x14ac:dyDescent="0.3">
      <c r="A39" s="3">
        <v>45936</v>
      </c>
      <c r="B39" s="4" t="s">
        <v>17</v>
      </c>
      <c r="C39" s="5">
        <v>7500</v>
      </c>
      <c r="D39" s="4">
        <v>2050.1370000000002</v>
      </c>
      <c r="E39" s="31">
        <v>0.27300000000000002</v>
      </c>
      <c r="F39" s="4">
        <v>5449.8629999999994</v>
      </c>
      <c r="G39" s="6">
        <v>130</v>
      </c>
      <c r="H39" s="4">
        <v>0</v>
      </c>
      <c r="I39" s="4">
        <v>999.58100000000002</v>
      </c>
      <c r="J39" s="4">
        <v>245.98099999999999</v>
      </c>
      <c r="K39" s="7">
        <v>804.57500000000005</v>
      </c>
      <c r="L39" s="13">
        <v>0.39200000000000002</v>
      </c>
      <c r="M39" s="4">
        <v>0</v>
      </c>
      <c r="N39" s="4">
        <v>9</v>
      </c>
      <c r="O39" s="4">
        <v>9</v>
      </c>
      <c r="P39" s="7">
        <v>19</v>
      </c>
    </row>
    <row r="40" spans="1:16" x14ac:dyDescent="0.3">
      <c r="A40" s="3">
        <v>45936</v>
      </c>
      <c r="B40" s="4" t="s">
        <v>18</v>
      </c>
      <c r="C40" s="5">
        <v>6000</v>
      </c>
      <c r="D40" s="4">
        <v>3918.7559999999999</v>
      </c>
      <c r="E40" s="31">
        <v>0.65300000000000002</v>
      </c>
      <c r="F40" s="4">
        <v>2081.2440000000001</v>
      </c>
      <c r="G40" s="6">
        <v>63</v>
      </c>
      <c r="H40" s="4">
        <v>1213.0909999999999</v>
      </c>
      <c r="I40" s="4">
        <v>1945.2280000000001</v>
      </c>
      <c r="J40" s="4">
        <v>359.08800000000002</v>
      </c>
      <c r="K40" s="7">
        <v>401.34899999999988</v>
      </c>
      <c r="L40" s="13">
        <v>0.10199999999999999</v>
      </c>
      <c r="M40" s="4">
        <v>39</v>
      </c>
      <c r="N40" s="4">
        <v>51</v>
      </c>
      <c r="O40" s="4">
        <v>104</v>
      </c>
      <c r="P40" s="7">
        <v>14</v>
      </c>
    </row>
    <row r="41" spans="1:16" ht="15" thickBot="1" x14ac:dyDescent="0.35">
      <c r="A41" s="8">
        <v>45936</v>
      </c>
      <c r="B41" s="9" t="s">
        <v>19</v>
      </c>
      <c r="C41" s="10">
        <v>5000</v>
      </c>
      <c r="D41" s="9">
        <v>5062.29</v>
      </c>
      <c r="E41" s="32">
        <v>1.012</v>
      </c>
      <c r="F41" s="12">
        <v>0</v>
      </c>
      <c r="G41" s="11">
        <v>0</v>
      </c>
      <c r="H41" s="9">
        <v>4633.3599999999997</v>
      </c>
      <c r="I41" s="9">
        <v>688.05399999999997</v>
      </c>
      <c r="J41" s="9">
        <v>46.156999999999996</v>
      </c>
      <c r="K41" s="12">
        <v>0</v>
      </c>
      <c r="L41" s="14">
        <v>0</v>
      </c>
      <c r="M41" s="9">
        <v>101</v>
      </c>
      <c r="N41" s="9">
        <v>15</v>
      </c>
      <c r="O41" s="9">
        <v>125</v>
      </c>
      <c r="P41" s="12">
        <v>0</v>
      </c>
    </row>
    <row r="42" spans="1:16" x14ac:dyDescent="0.3">
      <c r="A42" s="3">
        <v>45937</v>
      </c>
      <c r="B42" s="4" t="s">
        <v>16</v>
      </c>
      <c r="C42" s="5">
        <v>1500</v>
      </c>
      <c r="D42" s="4">
        <v>45.691000000000003</v>
      </c>
      <c r="E42" s="31">
        <v>0.03</v>
      </c>
      <c r="F42" s="4">
        <v>1454.309</v>
      </c>
      <c r="G42" s="6">
        <v>26</v>
      </c>
      <c r="H42" s="4">
        <v>0</v>
      </c>
      <c r="I42" s="4">
        <v>0</v>
      </c>
      <c r="J42" s="4">
        <v>0</v>
      </c>
      <c r="K42" s="7">
        <v>45.691000000000003</v>
      </c>
      <c r="L42" s="13">
        <v>1</v>
      </c>
      <c r="M42" s="4">
        <v>0</v>
      </c>
      <c r="N42" s="4">
        <v>0</v>
      </c>
      <c r="O42" s="4">
        <v>0</v>
      </c>
      <c r="P42" s="7">
        <v>1</v>
      </c>
    </row>
    <row r="43" spans="1:16" x14ac:dyDescent="0.3">
      <c r="A43" s="3">
        <v>45937</v>
      </c>
      <c r="B43" s="4" t="s">
        <v>17</v>
      </c>
      <c r="C43" s="5">
        <v>7500</v>
      </c>
      <c r="D43" s="4">
        <v>2050.1370000000002</v>
      </c>
      <c r="E43" s="31">
        <v>0.27300000000000002</v>
      </c>
      <c r="F43" s="4">
        <v>5449.8629999999994</v>
      </c>
      <c r="G43" s="6">
        <v>130</v>
      </c>
      <c r="H43" s="4">
        <v>0</v>
      </c>
      <c r="I43" s="4">
        <v>999.58100000000002</v>
      </c>
      <c r="J43" s="4">
        <v>245.98099999999999</v>
      </c>
      <c r="K43" s="7">
        <v>804.57500000000005</v>
      </c>
      <c r="L43" s="13">
        <v>0.39200000000000002</v>
      </c>
      <c r="M43" s="4">
        <v>0</v>
      </c>
      <c r="N43" s="4">
        <v>9</v>
      </c>
      <c r="O43" s="4">
        <v>9</v>
      </c>
      <c r="P43" s="7">
        <v>19</v>
      </c>
    </row>
    <row r="44" spans="1:16" x14ac:dyDescent="0.3">
      <c r="A44" s="3">
        <v>45937</v>
      </c>
      <c r="B44" s="4" t="s">
        <v>18</v>
      </c>
      <c r="C44" s="5">
        <v>6000</v>
      </c>
      <c r="D44" s="4">
        <v>3221.6320000000001</v>
      </c>
      <c r="E44" s="31">
        <v>0.53700000000000003</v>
      </c>
      <c r="F44" s="4">
        <v>2778.3679999999999</v>
      </c>
      <c r="G44" s="6">
        <v>84</v>
      </c>
      <c r="H44" s="4">
        <v>482.89100000000002</v>
      </c>
      <c r="I44" s="4">
        <v>2080.8679999999999</v>
      </c>
      <c r="J44" s="4">
        <v>285.66199999999998</v>
      </c>
      <c r="K44" s="7">
        <v>372.21100000000013</v>
      </c>
      <c r="L44" s="13">
        <v>0.11599999999999999</v>
      </c>
      <c r="M44" s="4">
        <v>15</v>
      </c>
      <c r="N44" s="4">
        <v>55</v>
      </c>
      <c r="O44" s="4">
        <v>95</v>
      </c>
      <c r="P44" s="7">
        <v>13</v>
      </c>
    </row>
    <row r="45" spans="1:16" ht="15" thickBot="1" x14ac:dyDescent="0.35">
      <c r="A45" s="8">
        <v>45937</v>
      </c>
      <c r="B45" s="9" t="s">
        <v>19</v>
      </c>
      <c r="C45" s="10">
        <v>5000</v>
      </c>
      <c r="D45" s="9">
        <v>4983.4250000000002</v>
      </c>
      <c r="E45" s="32">
        <v>0.997</v>
      </c>
      <c r="F45" s="12">
        <v>16.574999999999822</v>
      </c>
      <c r="G45" s="11">
        <v>0</v>
      </c>
      <c r="H45" s="9">
        <v>3851.2950000000001</v>
      </c>
      <c r="I45" s="9">
        <v>964.25400000000002</v>
      </c>
      <c r="J45" s="9">
        <v>84.275999999999996</v>
      </c>
      <c r="K45" s="12">
        <v>83.600000000000094</v>
      </c>
      <c r="L45" s="14">
        <v>1.7000000000000001E-2</v>
      </c>
      <c r="M45" s="9">
        <v>84</v>
      </c>
      <c r="N45" s="9">
        <v>21</v>
      </c>
      <c r="O45" s="9">
        <v>136</v>
      </c>
      <c r="P45" s="12">
        <v>2</v>
      </c>
    </row>
    <row r="46" spans="1:16" x14ac:dyDescent="0.3">
      <c r="A46" s="3">
        <v>45938</v>
      </c>
      <c r="B46" s="4" t="s">
        <v>16</v>
      </c>
      <c r="C46" s="5">
        <v>1500</v>
      </c>
      <c r="D46" s="4">
        <v>45.691000000000003</v>
      </c>
      <c r="E46" s="31">
        <v>0.03</v>
      </c>
      <c r="F46" s="4">
        <v>1454.309</v>
      </c>
      <c r="G46" s="6">
        <v>26</v>
      </c>
      <c r="H46" s="4">
        <v>0</v>
      </c>
      <c r="I46" s="4">
        <v>0</v>
      </c>
      <c r="J46" s="4">
        <v>0</v>
      </c>
      <c r="K46" s="7">
        <v>45.691000000000003</v>
      </c>
      <c r="L46" s="13">
        <v>1</v>
      </c>
      <c r="M46" s="4">
        <v>0</v>
      </c>
      <c r="N46" s="4">
        <v>0</v>
      </c>
      <c r="O46" s="4">
        <v>0</v>
      </c>
      <c r="P46" s="7">
        <v>1</v>
      </c>
    </row>
    <row r="47" spans="1:16" x14ac:dyDescent="0.3">
      <c r="A47" s="3">
        <v>45938</v>
      </c>
      <c r="B47" s="4" t="s">
        <v>17</v>
      </c>
      <c r="C47" s="5">
        <v>7500</v>
      </c>
      <c r="D47" s="4">
        <v>2091.7139999999999</v>
      </c>
      <c r="E47" s="31">
        <v>0.27899999999999997</v>
      </c>
      <c r="F47" s="4">
        <v>5408.2860000000001</v>
      </c>
      <c r="G47" s="6">
        <v>129</v>
      </c>
      <c r="H47" s="4">
        <v>0</v>
      </c>
      <c r="I47" s="4">
        <v>999.58100000000002</v>
      </c>
      <c r="J47" s="4">
        <v>245.98099999999999</v>
      </c>
      <c r="K47" s="7">
        <v>846.15199999999982</v>
      </c>
      <c r="L47" s="13">
        <v>0.40500000000000003</v>
      </c>
      <c r="M47" s="4">
        <v>0</v>
      </c>
      <c r="N47" s="4">
        <v>19</v>
      </c>
      <c r="O47" s="4">
        <v>15</v>
      </c>
      <c r="P47" s="7">
        <v>20</v>
      </c>
    </row>
    <row r="48" spans="1:16" x14ac:dyDescent="0.3">
      <c r="A48" s="3">
        <v>45938</v>
      </c>
      <c r="B48" s="4" t="s">
        <v>18</v>
      </c>
      <c r="C48" s="5">
        <v>6000</v>
      </c>
      <c r="D48" s="4">
        <v>3484.9769999999999</v>
      </c>
      <c r="E48" s="31">
        <v>0.58099999999999996</v>
      </c>
      <c r="F48" s="4">
        <v>2515.0230000000001</v>
      </c>
      <c r="G48" s="6">
        <v>76</v>
      </c>
      <c r="H48" s="4">
        <v>60.648000000000003</v>
      </c>
      <c r="I48" s="4">
        <v>2938.752</v>
      </c>
      <c r="J48" s="4">
        <v>299.11799999999999</v>
      </c>
      <c r="K48" s="7">
        <v>186.4589999999998</v>
      </c>
      <c r="L48" s="13">
        <v>5.4000000000000006E-2</v>
      </c>
      <c r="M48" s="4">
        <v>2</v>
      </c>
      <c r="N48" s="4">
        <v>98</v>
      </c>
      <c r="O48" s="4">
        <v>121</v>
      </c>
      <c r="P48" s="7">
        <v>6</v>
      </c>
    </row>
    <row r="49" spans="1:16" ht="15" thickBot="1" x14ac:dyDescent="0.35">
      <c r="A49" s="8">
        <v>45938</v>
      </c>
      <c r="B49" s="9" t="s">
        <v>19</v>
      </c>
      <c r="C49" s="10">
        <v>5000</v>
      </c>
      <c r="D49" s="9">
        <v>4477.3830000000007</v>
      </c>
      <c r="E49" s="32">
        <v>0.89500000000000002</v>
      </c>
      <c r="F49" s="12">
        <v>522.61699999999928</v>
      </c>
      <c r="G49" s="11">
        <v>11</v>
      </c>
      <c r="H49" s="9">
        <v>3081.8159999999998</v>
      </c>
      <c r="I49" s="9">
        <v>1464.7570000000001</v>
      </c>
      <c r="J49" s="9">
        <v>49.289000000000001</v>
      </c>
      <c r="K49" s="12">
        <v>0</v>
      </c>
      <c r="L49" s="14">
        <v>0</v>
      </c>
      <c r="M49" s="9">
        <v>67</v>
      </c>
      <c r="N49" s="9">
        <v>32</v>
      </c>
      <c r="O49" s="9">
        <v>126</v>
      </c>
      <c r="P49" s="12">
        <v>0</v>
      </c>
    </row>
    <row r="50" spans="1:16" x14ac:dyDescent="0.3">
      <c r="A50" s="3">
        <v>45939</v>
      </c>
      <c r="B50" s="4" t="s">
        <v>16</v>
      </c>
      <c r="C50" s="5">
        <v>1500</v>
      </c>
      <c r="D50" s="4">
        <v>45.691000000000003</v>
      </c>
      <c r="E50" s="31">
        <v>0.03</v>
      </c>
      <c r="F50" s="4">
        <v>1454.309</v>
      </c>
      <c r="G50" s="6">
        <v>26</v>
      </c>
      <c r="H50" s="4">
        <v>0</v>
      </c>
      <c r="I50" s="4">
        <v>0</v>
      </c>
      <c r="J50" s="4">
        <v>0</v>
      </c>
      <c r="K50" s="7">
        <v>45.691000000000003</v>
      </c>
      <c r="L50" s="13">
        <v>1</v>
      </c>
      <c r="M50" s="4">
        <v>0</v>
      </c>
      <c r="N50" s="4">
        <v>0</v>
      </c>
      <c r="O50" s="4">
        <v>0</v>
      </c>
      <c r="P50" s="7">
        <v>1</v>
      </c>
    </row>
    <row r="51" spans="1:16" x14ac:dyDescent="0.3">
      <c r="A51" s="3">
        <v>45939</v>
      </c>
      <c r="B51" s="4" t="s">
        <v>17</v>
      </c>
      <c r="C51" s="5">
        <v>7500</v>
      </c>
      <c r="D51" s="4">
        <v>1982.6379999999999</v>
      </c>
      <c r="E51" s="31">
        <v>0.26400000000000001</v>
      </c>
      <c r="F51" s="4">
        <v>5517.3620000000001</v>
      </c>
      <c r="G51" s="6">
        <v>131</v>
      </c>
      <c r="H51" s="4">
        <v>475.786</v>
      </c>
      <c r="I51" s="4">
        <v>523.79500000000007</v>
      </c>
      <c r="J51" s="4">
        <v>213.608</v>
      </c>
      <c r="K51" s="7">
        <v>769.44899999999984</v>
      </c>
      <c r="L51" s="13">
        <v>0.38799999999999996</v>
      </c>
      <c r="M51" s="4">
        <v>11</v>
      </c>
      <c r="N51" s="4">
        <v>8</v>
      </c>
      <c r="O51" s="4">
        <v>16</v>
      </c>
      <c r="P51" s="7">
        <v>18</v>
      </c>
    </row>
    <row r="52" spans="1:16" x14ac:dyDescent="0.3">
      <c r="A52" s="3">
        <v>45939</v>
      </c>
      <c r="B52" s="4" t="s">
        <v>18</v>
      </c>
      <c r="C52" s="5">
        <v>6000</v>
      </c>
      <c r="D52" s="4">
        <v>3848.7640000000001</v>
      </c>
      <c r="E52" s="31">
        <v>0.6409999999999999</v>
      </c>
      <c r="F52" s="4">
        <v>2151.2359999999999</v>
      </c>
      <c r="G52" s="6">
        <v>65</v>
      </c>
      <c r="H52" s="4">
        <v>503.971</v>
      </c>
      <c r="I52" s="4">
        <v>2615.9679999999998</v>
      </c>
      <c r="J52" s="4">
        <v>409.30799999999999</v>
      </c>
      <c r="K52" s="7">
        <v>319.51700000000028</v>
      </c>
      <c r="L52" s="13">
        <v>8.3000000000000004E-2</v>
      </c>
      <c r="M52" s="4">
        <v>17</v>
      </c>
      <c r="N52" s="4">
        <v>87</v>
      </c>
      <c r="O52" s="4">
        <v>116</v>
      </c>
      <c r="P52" s="7">
        <v>11</v>
      </c>
    </row>
    <row r="53" spans="1:16" ht="15" thickBot="1" x14ac:dyDescent="0.35">
      <c r="A53" s="8">
        <v>45939</v>
      </c>
      <c r="B53" s="9" t="s">
        <v>19</v>
      </c>
      <c r="C53" s="10">
        <v>5000</v>
      </c>
      <c r="D53" s="9">
        <v>4250.26</v>
      </c>
      <c r="E53" s="32">
        <v>0.85</v>
      </c>
      <c r="F53" s="12">
        <v>749.73999999999978</v>
      </c>
      <c r="G53" s="11">
        <v>16</v>
      </c>
      <c r="H53" s="9">
        <v>2496.5189999999998</v>
      </c>
      <c r="I53" s="9">
        <v>1658.2840000000001</v>
      </c>
      <c r="J53" s="9">
        <v>74.37</v>
      </c>
      <c r="K53" s="12">
        <v>21.087000000000099</v>
      </c>
      <c r="L53" s="14">
        <v>5.0000000000000001E-3</v>
      </c>
      <c r="M53" s="9">
        <v>54</v>
      </c>
      <c r="N53" s="9">
        <v>36</v>
      </c>
      <c r="O53" s="9">
        <v>130</v>
      </c>
      <c r="P53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showGridLines="0" workbookViewId="0">
      <selection activeCell="P6" sqref="A1:P6"/>
    </sheetView>
  </sheetViews>
  <sheetFormatPr baseColWidth="10" defaultRowHeight="14.4" x14ac:dyDescent="0.3"/>
  <cols>
    <col min="7" max="7" width="9.33203125" customWidth="1"/>
    <col min="8" max="8" width="13" customWidth="1"/>
    <col min="9" max="10" width="13.21875" customWidth="1"/>
    <col min="11" max="11" width="10.88671875" customWidth="1"/>
    <col min="12" max="12" width="8.21875" customWidth="1"/>
    <col min="13" max="13" width="11" customWidth="1"/>
  </cols>
  <sheetData>
    <row r="1" spans="1:16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23</v>
      </c>
      <c r="J1" s="2" t="s">
        <v>22</v>
      </c>
      <c r="K1" s="2" t="s">
        <v>21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45939</v>
      </c>
      <c r="B2" s="4" t="s">
        <v>16</v>
      </c>
      <c r="C2" s="28">
        <v>1500</v>
      </c>
      <c r="D2" s="19">
        <v>45.691000000000003</v>
      </c>
      <c r="E2" s="41">
        <v>0.03</v>
      </c>
      <c r="F2" s="19">
        <v>1454.309</v>
      </c>
      <c r="G2" s="6">
        <v>26</v>
      </c>
      <c r="H2" s="19">
        <v>0</v>
      </c>
      <c r="I2" s="19">
        <v>0</v>
      </c>
      <c r="J2" s="19">
        <v>0</v>
      </c>
      <c r="K2" s="22">
        <v>45.691000000000003</v>
      </c>
      <c r="L2" s="41">
        <v>1</v>
      </c>
      <c r="M2" s="4">
        <v>0</v>
      </c>
      <c r="N2" s="4">
        <v>0</v>
      </c>
      <c r="O2" s="4">
        <v>0</v>
      </c>
      <c r="P2" s="7">
        <v>1</v>
      </c>
    </row>
    <row r="3" spans="1:16" x14ac:dyDescent="0.3">
      <c r="A3" s="3">
        <v>45939</v>
      </c>
      <c r="B3" s="4" t="s">
        <v>17</v>
      </c>
      <c r="C3" s="28">
        <v>7500</v>
      </c>
      <c r="D3" s="19">
        <v>1982.6379999999999</v>
      </c>
      <c r="E3" s="41">
        <v>0.26400000000000001</v>
      </c>
      <c r="F3" s="19">
        <v>5517.3620000000001</v>
      </c>
      <c r="G3" s="6">
        <v>131</v>
      </c>
      <c r="H3" s="19">
        <v>475.786</v>
      </c>
      <c r="I3" s="19">
        <v>523.79500000000007</v>
      </c>
      <c r="J3" s="19">
        <v>213.608</v>
      </c>
      <c r="K3" s="22">
        <v>769.44899999999984</v>
      </c>
      <c r="L3" s="41">
        <v>0.38799999999999996</v>
      </c>
      <c r="M3" s="4">
        <v>11</v>
      </c>
      <c r="N3" s="4">
        <v>8</v>
      </c>
      <c r="O3" s="4">
        <v>16</v>
      </c>
      <c r="P3" s="7">
        <v>18</v>
      </c>
    </row>
    <row r="4" spans="1:16" x14ac:dyDescent="0.3">
      <c r="A4" s="3">
        <v>45939</v>
      </c>
      <c r="B4" s="4" t="s">
        <v>18</v>
      </c>
      <c r="C4" s="28">
        <v>6000</v>
      </c>
      <c r="D4" s="19">
        <v>3848.7640000000001</v>
      </c>
      <c r="E4" s="41">
        <v>0.6409999999999999</v>
      </c>
      <c r="F4" s="19">
        <v>2151.2359999999999</v>
      </c>
      <c r="G4" s="6">
        <v>65</v>
      </c>
      <c r="H4" s="19">
        <v>503.971</v>
      </c>
      <c r="I4" s="19">
        <v>2615.9679999999998</v>
      </c>
      <c r="J4" s="19">
        <v>409.30799999999999</v>
      </c>
      <c r="K4" s="22">
        <v>319.51700000000028</v>
      </c>
      <c r="L4" s="41">
        <v>8.3000000000000004E-2</v>
      </c>
      <c r="M4" s="4">
        <v>17</v>
      </c>
      <c r="N4" s="4">
        <v>87</v>
      </c>
      <c r="O4" s="4">
        <v>116</v>
      </c>
      <c r="P4" s="7">
        <v>11</v>
      </c>
    </row>
    <row r="5" spans="1:16" ht="15" thickBot="1" x14ac:dyDescent="0.35">
      <c r="A5" s="8">
        <v>45939</v>
      </c>
      <c r="B5" s="9" t="s">
        <v>19</v>
      </c>
      <c r="C5" s="29">
        <v>5000</v>
      </c>
      <c r="D5" s="20">
        <v>4250.26</v>
      </c>
      <c r="E5" s="44">
        <v>0.85</v>
      </c>
      <c r="F5" s="20">
        <v>749.73999999999978</v>
      </c>
      <c r="G5" s="11">
        <v>16</v>
      </c>
      <c r="H5" s="20">
        <v>2496.5189999999998</v>
      </c>
      <c r="I5" s="20">
        <v>1658.2840000000001</v>
      </c>
      <c r="J5" s="20">
        <v>74.37</v>
      </c>
      <c r="K5" s="23">
        <v>21.087000000000099</v>
      </c>
      <c r="L5" s="41">
        <v>5.0000000000000001E-3</v>
      </c>
      <c r="M5" s="9">
        <v>54</v>
      </c>
      <c r="N5" s="9">
        <v>36</v>
      </c>
      <c r="O5" s="9">
        <v>130</v>
      </c>
      <c r="P5" s="12">
        <v>0</v>
      </c>
    </row>
    <row r="6" spans="1:16" ht="15" thickBot="1" x14ac:dyDescent="0.35">
      <c r="A6" s="15"/>
      <c r="B6" s="15"/>
      <c r="C6" s="30">
        <f>SUM(C2:C5)</f>
        <v>20000</v>
      </c>
      <c r="D6" s="27">
        <f>SUM(D2:D5)</f>
        <v>10127.352999999999</v>
      </c>
      <c r="E6" s="42">
        <f>D6/C6</f>
        <v>0.50636764999999995</v>
      </c>
      <c r="F6" s="27">
        <f t="shared" ref="F6:K6" si="0">SUM(F2:F5)</f>
        <v>9872.646999999999</v>
      </c>
      <c r="G6" s="16">
        <f t="shared" si="0"/>
        <v>238</v>
      </c>
      <c r="H6" s="27">
        <f t="shared" si="0"/>
        <v>3476.2759999999998</v>
      </c>
      <c r="I6" s="24">
        <f t="shared" si="0"/>
        <v>4798.0470000000005</v>
      </c>
      <c r="J6" s="27">
        <f t="shared" si="0"/>
        <v>697.28599999999994</v>
      </c>
      <c r="K6" s="25">
        <f t="shared" si="0"/>
        <v>1155.7440000000001</v>
      </c>
      <c r="L6" s="43">
        <f>K6/D6</f>
        <v>0.11412103439072384</v>
      </c>
      <c r="M6" s="17">
        <f>SUM(M2:M5)</f>
        <v>82</v>
      </c>
      <c r="N6" s="17">
        <f>SUM(N2:N5)</f>
        <v>131</v>
      </c>
      <c r="O6" s="17">
        <f>SUM(O2:O5)</f>
        <v>262</v>
      </c>
      <c r="P6" s="18">
        <f>SUM(P2:P5)</f>
        <v>30</v>
      </c>
    </row>
    <row r="15" spans="1:16" x14ac:dyDescent="0.3">
      <c r="F15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28EE-5C48-4D88-AF1D-26E8A80DBA28}">
  <dimension ref="A1:R15"/>
  <sheetViews>
    <sheetView showGridLines="0" workbookViewId="0">
      <selection activeCell="B6" sqref="B6"/>
    </sheetView>
  </sheetViews>
  <sheetFormatPr baseColWidth="10" defaultRowHeight="14.4" x14ac:dyDescent="0.3"/>
  <cols>
    <col min="7" max="7" width="9.33203125" customWidth="1"/>
    <col min="8" max="8" width="13" customWidth="1"/>
    <col min="9" max="9" width="10.77734375" bestFit="1" customWidth="1"/>
    <col min="10" max="11" width="13.21875" customWidth="1"/>
    <col min="12" max="12" width="10.88671875" customWidth="1"/>
    <col min="13" max="13" width="8.21875" customWidth="1"/>
    <col min="14" max="15" width="11" customWidth="1"/>
  </cols>
  <sheetData>
    <row r="1" spans="1:18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28</v>
      </c>
      <c r="J1" s="2" t="s">
        <v>23</v>
      </c>
      <c r="K1" s="2" t="s">
        <v>22</v>
      </c>
      <c r="L1" s="2" t="s">
        <v>21</v>
      </c>
      <c r="M1" s="1" t="s">
        <v>11</v>
      </c>
      <c r="N1" s="2" t="s">
        <v>12</v>
      </c>
      <c r="O1" s="2" t="s">
        <v>29</v>
      </c>
      <c r="P1" s="2" t="s">
        <v>13</v>
      </c>
      <c r="Q1" s="2" t="s">
        <v>14</v>
      </c>
      <c r="R1" s="2" t="s">
        <v>15</v>
      </c>
    </row>
    <row r="2" spans="1:18" x14ac:dyDescent="0.3">
      <c r="A2" s="3">
        <v>45933</v>
      </c>
      <c r="B2" s="4" t="s">
        <v>16</v>
      </c>
      <c r="C2" s="28">
        <v>1500</v>
      </c>
      <c r="D2" s="19">
        <v>145.21299999999999</v>
      </c>
      <c r="E2" s="33">
        <v>9.6999999999999993</v>
      </c>
      <c r="F2" s="19">
        <v>1354.787</v>
      </c>
      <c r="G2" s="6">
        <v>25</v>
      </c>
      <c r="H2" s="19">
        <v>105.30800000000001</v>
      </c>
      <c r="I2" s="38">
        <f>45*O2</f>
        <v>0</v>
      </c>
      <c r="J2" s="19">
        <v>0</v>
      </c>
      <c r="K2" s="19">
        <v>0</v>
      </c>
      <c r="L2" s="22">
        <v>39.905000000000001</v>
      </c>
      <c r="M2" s="36">
        <v>27.5</v>
      </c>
      <c r="N2" s="4">
        <v>2</v>
      </c>
      <c r="O2" s="7">
        <v>0</v>
      </c>
      <c r="P2" s="4">
        <v>0</v>
      </c>
      <c r="Q2" s="4">
        <v>0</v>
      </c>
      <c r="R2" s="7">
        <v>1</v>
      </c>
    </row>
    <row r="3" spans="1:18" x14ac:dyDescent="0.3">
      <c r="A3" s="3">
        <v>45933</v>
      </c>
      <c r="B3" s="4" t="s">
        <v>17</v>
      </c>
      <c r="C3" s="28">
        <v>7500</v>
      </c>
      <c r="D3" s="19">
        <v>2012.614</v>
      </c>
      <c r="E3" s="33">
        <v>26.8</v>
      </c>
      <c r="F3" s="19">
        <v>5487.3860000000004</v>
      </c>
      <c r="G3" s="6">
        <v>131</v>
      </c>
      <c r="H3" s="19">
        <v>523.79500000000007</v>
      </c>
      <c r="I3" s="22">
        <f>45*O3</f>
        <v>0</v>
      </c>
      <c r="J3" s="19">
        <v>475.786</v>
      </c>
      <c r="K3" s="19">
        <v>208.458</v>
      </c>
      <c r="L3" s="22">
        <v>804.57499999999993</v>
      </c>
      <c r="M3" s="36">
        <v>40</v>
      </c>
      <c r="N3" s="4">
        <v>6</v>
      </c>
      <c r="O3" s="7">
        <v>0</v>
      </c>
      <c r="P3" s="4">
        <v>3</v>
      </c>
      <c r="Q3" s="4">
        <v>9</v>
      </c>
      <c r="R3" s="7">
        <v>19</v>
      </c>
    </row>
    <row r="4" spans="1:18" x14ac:dyDescent="0.3">
      <c r="A4" s="3">
        <v>45933</v>
      </c>
      <c r="B4" s="4" t="s">
        <v>18</v>
      </c>
      <c r="C4" s="28">
        <v>6000</v>
      </c>
      <c r="D4" s="19">
        <v>3706.2860000000001</v>
      </c>
      <c r="E4" s="33">
        <v>61.8</v>
      </c>
      <c r="F4" s="19">
        <v>2293.7139999999999</v>
      </c>
      <c r="G4" s="6">
        <v>70</v>
      </c>
      <c r="H4" s="19">
        <v>1175.1089999999999</v>
      </c>
      <c r="I4" s="22">
        <f>45*O4</f>
        <v>0</v>
      </c>
      <c r="J4" s="19">
        <v>1643.2339999999999</v>
      </c>
      <c r="K4" s="19">
        <v>430.65800000000002</v>
      </c>
      <c r="L4" s="22">
        <v>457.2850000000002</v>
      </c>
      <c r="M4" s="36">
        <v>12.3</v>
      </c>
      <c r="N4" s="4">
        <v>38</v>
      </c>
      <c r="O4" s="7">
        <v>0</v>
      </c>
      <c r="P4" s="4">
        <v>41</v>
      </c>
      <c r="Q4" s="4">
        <v>114</v>
      </c>
      <c r="R4" s="7">
        <v>16</v>
      </c>
    </row>
    <row r="5" spans="1:18" ht="15" thickBot="1" x14ac:dyDescent="0.35">
      <c r="A5" s="8">
        <v>45933</v>
      </c>
      <c r="B5" s="9" t="s">
        <v>19</v>
      </c>
      <c r="C5" s="29">
        <v>5000</v>
      </c>
      <c r="D5" s="20">
        <v>4858.9870000000001</v>
      </c>
      <c r="E5" s="34">
        <v>97.2</v>
      </c>
      <c r="F5" s="19">
        <v>141.01299999999989</v>
      </c>
      <c r="G5" s="11">
        <v>3</v>
      </c>
      <c r="H5" s="20">
        <v>3083.2190000000001</v>
      </c>
      <c r="I5" s="23">
        <f>45*O5</f>
        <v>720</v>
      </c>
      <c r="J5" s="20">
        <v>1754.298</v>
      </c>
      <c r="K5" s="20">
        <v>167.95</v>
      </c>
      <c r="L5" s="23">
        <v>0</v>
      </c>
      <c r="M5" s="40">
        <v>0</v>
      </c>
      <c r="N5" s="9">
        <v>68</v>
      </c>
      <c r="O5" s="12">
        <v>16</v>
      </c>
      <c r="P5" s="9">
        <v>38</v>
      </c>
      <c r="Q5" s="9">
        <v>187</v>
      </c>
      <c r="R5" s="12">
        <v>0</v>
      </c>
    </row>
    <row r="6" spans="1:18" ht="15" thickBot="1" x14ac:dyDescent="0.35">
      <c r="A6" s="15"/>
      <c r="B6" s="15"/>
      <c r="C6" s="30">
        <f>SUM(C2:C5)</f>
        <v>20000</v>
      </c>
      <c r="D6" s="27">
        <f>SUM(D2:D5)</f>
        <v>10723.1</v>
      </c>
      <c r="E6" s="35">
        <f>AVERAGE(E2:E5)</f>
        <v>48.875</v>
      </c>
      <c r="F6" s="26">
        <f t="shared" ref="F6:L6" si="0">SUM(F2:F5)</f>
        <v>9276.9</v>
      </c>
      <c r="G6" s="16">
        <f t="shared" si="0"/>
        <v>229</v>
      </c>
      <c r="H6" s="27">
        <f t="shared" si="0"/>
        <v>4887.4310000000005</v>
      </c>
      <c r="I6" s="39">
        <f>SUM(I2:I5)</f>
        <v>720</v>
      </c>
      <c r="J6" s="24">
        <f t="shared" si="0"/>
        <v>3873.3180000000002</v>
      </c>
      <c r="K6" s="27">
        <f t="shared" si="0"/>
        <v>807.06600000000003</v>
      </c>
      <c r="L6" s="25">
        <f t="shared" si="0"/>
        <v>1301.7650000000001</v>
      </c>
      <c r="M6" s="37">
        <f>AVERAGE(M2:M5)</f>
        <v>19.95</v>
      </c>
      <c r="N6" s="17">
        <f>SUM(N2:N5)</f>
        <v>114</v>
      </c>
      <c r="O6" s="18">
        <f>SUM(O2:O5)</f>
        <v>16</v>
      </c>
      <c r="P6" s="17">
        <f>SUM(P2:P5)</f>
        <v>82</v>
      </c>
      <c r="Q6" s="17">
        <f>SUM(Q2:Q5)</f>
        <v>310</v>
      </c>
      <c r="R6" s="18">
        <f>SUM(R2:R5)</f>
        <v>36</v>
      </c>
    </row>
    <row r="15" spans="1:18" x14ac:dyDescent="0.3">
      <c r="F15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2025-10-09T15:48:32Z</dcterms:modified>
</cp:coreProperties>
</file>